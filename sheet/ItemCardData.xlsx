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D:\Workspace\nanDeck\datasheet\"/>
    </mc:Choice>
  </mc:AlternateContent>
  <xr:revisionPtr revIDLastSave="0" documentId="13_ncr:1_{41DF4D9D-46BB-4C1A-8712-FE56C8B90778}" xr6:coauthVersionLast="47" xr6:coauthVersionMax="47" xr10:uidLastSave="{00000000-0000-0000-0000-000000000000}"/>
  <bookViews>
    <workbookView xWindow="3855" yWindow="3855" windowWidth="21600" windowHeight="11295"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 l="1" a="1"/>
  <c r="F3" i="1" s="1"/>
  <c r="F4" i="1" a="1"/>
  <c r="F4" i="1" s="1"/>
  <c r="F2" i="1" a="1"/>
  <c r="F2" i="1" s="1"/>
  <c r="F33" i="1" a="1"/>
  <c r="F33" i="1" s="1"/>
  <c r="F32" i="1" a="1"/>
  <c r="F32" i="1" s="1"/>
  <c r="F31" i="1" a="1"/>
  <c r="F31" i="1" s="1"/>
  <c r="F30" i="1" a="1"/>
  <c r="F30" i="1" s="1"/>
  <c r="F29" i="1" a="1"/>
  <c r="F29" i="1" s="1"/>
  <c r="F28" i="1" a="1"/>
  <c r="F28" i="1" s="1"/>
  <c r="F27" i="1" a="1"/>
  <c r="F27" i="1" s="1"/>
  <c r="F26" i="1" a="1"/>
  <c r="F26" i="1" s="1"/>
  <c r="F24" i="1" a="1"/>
  <c r="F24" i="1" s="1"/>
  <c r="F23" i="1" a="1"/>
  <c r="F23" i="1" s="1"/>
  <c r="F22" i="1" a="1"/>
  <c r="F22" i="1" s="1"/>
  <c r="F21" i="1" a="1"/>
  <c r="F21" i="1" s="1"/>
  <c r="F20" i="1" a="1"/>
  <c r="F20" i="1" s="1"/>
  <c r="F19" i="1" a="1"/>
  <c r="F19" i="1" s="1"/>
  <c r="F18" i="1" a="1"/>
  <c r="F18" i="1" s="1"/>
  <c r="F17" i="1" a="1"/>
  <c r="F17" i="1" s="1"/>
  <c r="F16" i="1" a="1"/>
  <c r="F16" i="1" s="1"/>
  <c r="F15" i="1" a="1"/>
  <c r="F15" i="1" s="1"/>
  <c r="F14" i="1" a="1"/>
  <c r="F14" i="1" s="1"/>
  <c r="F13" i="1" a="1"/>
  <c r="F13" i="1" s="1"/>
  <c r="F12" i="1" a="1"/>
  <c r="F12" i="1" s="1"/>
  <c r="F11" i="1" a="1"/>
  <c r="F11" i="1" s="1"/>
  <c r="F10" i="1" a="1"/>
  <c r="F10" i="1" s="1"/>
  <c r="F9" i="1" a="1"/>
  <c r="F9" i="1" s="1"/>
  <c r="F8" i="1" a="1"/>
  <c r="F8" i="1" s="1"/>
  <c r="F7" i="1" a="1"/>
  <c r="F7" i="1" s="1"/>
  <c r="F6" i="1" a="1"/>
  <c r="F6" i="1" s="1"/>
  <c r="F5" i="1" a="1"/>
  <c r="F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<sst xmlns="http://schemas.openxmlformats.org/spreadsheetml/2006/main" count="164" uniqueCount="141">
  <si>
    <t>蔬菜罐头</t>
    <phoneticPr fontId="1" type="noConversion"/>
  </si>
  <si>
    <t>食物</t>
    <phoneticPr fontId="1" type="noConversion"/>
  </si>
  <si>
    <t>Canned vegetables</t>
    <phoneticPr fontId="1" type="noConversion"/>
  </si>
  <si>
    <t>Can be used before making actions: Cost 1 food. Then flip one of your used attribute token.</t>
  </si>
  <si>
    <t>肉</t>
    <phoneticPr fontId="1" type="noConversion"/>
  </si>
  <si>
    <t>Meat</t>
    <phoneticPr fontId="1" type="noConversion"/>
  </si>
  <si>
    <t>Can be used before making actions: Cost 2 food. For each token type, flip one of your used attribute tokens if there is any.</t>
    <phoneticPr fontId="1" type="noConversion"/>
  </si>
  <si>
    <t>饭团</t>
    <phoneticPr fontId="1" type="noConversion"/>
  </si>
  <si>
    <t>Onigiri</t>
    <phoneticPr fontId="1" type="noConversion"/>
  </si>
  <si>
    <t>Can be used before making actions: Cost 1 food. Then shuffle the topmost card of your Discard Pile to Main Deck.</t>
  </si>
  <si>
    <t>精灵面包</t>
    <phoneticPr fontId="1" type="noConversion"/>
  </si>
  <si>
    <t>Elvish Waybread</t>
    <phoneticPr fontId="1" type="noConversion"/>
  </si>
  <si>
    <t>Can only be used once per Long Rest. &lt;br&gt;
Can be used before making actions: Cost 1 food. Then add the topmost card of Discard Pile to your hand.</t>
    <phoneticPr fontId="1" type="noConversion"/>
  </si>
  <si>
    <t>猫罐头</t>
    <phoneticPr fontId="1" type="noConversion"/>
  </si>
  <si>
    <t>Canned cat food</t>
    <phoneticPr fontId="1" type="noConversion"/>
  </si>
  <si>
    <t>Can only be used once per Long Rest. &lt;br&gt;
Can be used before making actions: Cost 1 food. Then add the topmost card in your freecell to your hand.</t>
    <phoneticPr fontId="1" type="noConversion"/>
  </si>
  <si>
    <t>恢复药</t>
    <phoneticPr fontId="1" type="noConversion"/>
  </si>
  <si>
    <t>Healing potion</t>
    <phoneticPr fontId="1" type="noConversion"/>
  </si>
  <si>
    <t>Can be used before making actions: Cost 1 potion. Then recover all health points.</t>
  </si>
  <si>
    <t>咬物</t>
    <phoneticPr fontId="1" type="noConversion"/>
  </si>
  <si>
    <t>Veterinary steroid</t>
    <phoneticPr fontId="1" type="noConversion"/>
  </si>
  <si>
    <t>Can be used when Player wins in a battle round with more total rank: Cost 1 potion, send a card of your side to Graveyard instead of discarding it. This effect can be used multiple times for every battle round.</t>
  </si>
  <si>
    <t>克隆药水</t>
    <phoneticPr fontId="1" type="noConversion"/>
  </si>
  <si>
    <t>Cloning draught</t>
    <phoneticPr fontId="1" type="noConversion"/>
  </si>
  <si>
    <t>Can only be used once per Long Rest. &lt;br&gt;
Can be used before making actions: Cost 1 potion. Then select one of your hand cards or a card in Exploration Zone. Add a card with the same name as that card from Main Deck to your hand If there exists any.</t>
    <phoneticPr fontId="1" type="noConversion"/>
  </si>
  <si>
    <t>咖啡</t>
    <phoneticPr fontId="1" type="noConversion"/>
  </si>
  <si>
    <t>Coffee</t>
  </si>
  <si>
    <t>Can be used before making actions: Cost 1 potion. Then untap all tapped cards in your Equipment Zone.</t>
    <phoneticPr fontId="1" type="noConversion"/>
  </si>
  <si>
    <t>Sphynx injector</t>
    <phoneticPr fontId="1" type="noConversion"/>
  </si>
  <si>
    <t>Can be used before making actions: Cost 1 potion. Then check the top five cards of Main Deck, Event Deck or Artifact Deck. After that, you can put any of them back to the top of the corresponding deck, and the rest of them back to the bottom of that deck. You can put those cards back in whatever order you like.</t>
  </si>
  <si>
    <t>脑盐水</t>
    <phoneticPr fontId="1" type="noConversion"/>
  </si>
  <si>
    <t>Brain brine</t>
    <phoneticPr fontId="1" type="noConversion"/>
  </si>
  <si>
    <t>Can only be used once per Long Rest. &lt;br&gt;
Can be used before making actions: Cost 1 potion. Then take X cards from Artifact Deck and get the first &lt;scroll&gt; or &lt;potion&gt; card of them, if there is any.</t>
  </si>
  <si>
    <t>卷轴</t>
    <phoneticPr fontId="1" type="noConversion"/>
  </si>
  <si>
    <t>Identification</t>
    <phoneticPr fontId="1" type="noConversion"/>
  </si>
  <si>
    <t>Can be used when using an [Artifact] card: Cost 1 scroll. Then change the "three" in the effect of that card to "six".</t>
  </si>
  <si>
    <t>The合同</t>
    <phoneticPr fontId="1" type="noConversion"/>
  </si>
  <si>
    <t>The contract</t>
    <phoneticPr fontId="1" type="noConversion"/>
  </si>
  <si>
    <t>Can be used when Player wins in a battle round with more total rank: Cost 1 scroll Then add a card of your side to your hand instead of discarding it. This effect can be used multiple times for every battle round.</t>
  </si>
  <si>
    <t>灭绝</t>
    <phoneticPr fontId="1" type="noConversion"/>
  </si>
  <si>
    <t>Genocide</t>
    <phoneticPr fontId="1" type="noConversion"/>
  </si>
  <si>
    <t>Can only be used once per Long Rest. &lt;br&gt;
Can be used before making actions: Cost X scroll. Then select { monster } cards with a total rank of X from Exploration Zone and send them to Graveyard.</t>
  </si>
  <si>
    <t>点金</t>
    <phoneticPr fontId="1" type="noConversion"/>
  </si>
  <si>
    <t>Midas touch</t>
    <phoneticPr fontId="1" type="noConversion"/>
  </si>
  <si>
    <t>Can only be used once per Long Rest. &lt;br&gt;
Can be used before making actions: Cost 1 scroll. Then select a { Monster } card with a rank no more than three from your hand. Send that card to Graveyard and get X unity of gold. X is the rank of that card.</t>
  </si>
  <si>
    <t>变化</t>
    <phoneticPr fontId="1" type="noConversion"/>
  </si>
  <si>
    <t>Polymorph</t>
    <phoneticPr fontId="1" type="noConversion"/>
  </si>
  <si>
    <t>Can be used before making actions: Cost 1 scroll. Then redraw a { monster } card in Exploration Zone.</t>
    <phoneticPr fontId="1" type="noConversion"/>
  </si>
  <si>
    <t>援军</t>
    <phoneticPr fontId="1" type="noConversion"/>
  </si>
  <si>
    <t>大房间卷轴</t>
    <phoneticPr fontId="1" type="noConversion"/>
  </si>
  <si>
    <t>Great Room Scroll</t>
  </si>
  <si>
    <t>Can only be used once per Long Rest. &lt;br&gt;
Can be used when resetting Exploration Zone: Cost 1 scroll. Increase Area by 1 until the resetting is done. &lt;br&gt;
Lasting: As long as this card is tapped. Player can take one more { Event } card from Event Deck in post battle phase. He can also select an additional { Event } card in that case.</t>
    <phoneticPr fontId="1" type="noConversion"/>
  </si>
  <si>
    <t>解除陷阱</t>
    <phoneticPr fontId="1" type="noConversion"/>
  </si>
  <si>
    <t>Can be used before making actions: Cost 1 scroll. Then send a { Trap } card in Exploration Zone to Graveyard.</t>
    <phoneticPr fontId="1" type="noConversion"/>
  </si>
  <si>
    <t>祝福</t>
    <phoneticPr fontId="1" type="noConversion"/>
  </si>
  <si>
    <t>Bless</t>
    <phoneticPr fontId="1" type="noConversion"/>
  </si>
  <si>
    <t>Can be used before a battle round: Cost 1 scroll. Increase the rank of a card of your side by one.</t>
  </si>
  <si>
    <t>诅咒</t>
    <phoneticPr fontId="1" type="noConversion"/>
  </si>
  <si>
    <t>Curse</t>
    <phoneticPr fontId="1" type="noConversion"/>
  </si>
  <si>
    <t>Scroll</t>
    <phoneticPr fontId="1" type="noConversion"/>
  </si>
  <si>
    <t>传送他人</t>
    <phoneticPr fontId="1" type="noConversion"/>
  </si>
  <si>
    <t>Teleport others</t>
    <phoneticPr fontId="1" type="noConversion"/>
  </si>
  <si>
    <t>Can be used before making actions: Cost 1 scroll. Then shuffle a { Monster } card in Exploration Zone to Main Deck.</t>
  </si>
  <si>
    <t>长距离传送</t>
    <phoneticPr fontId="1" type="noConversion"/>
  </si>
  <si>
    <t>卷轴</t>
  </si>
  <si>
    <t>Teleport</t>
    <phoneticPr fontId="1" type="noConversion"/>
  </si>
  <si>
    <t>Can be used before making actions: Cost 1 scroll. Then have a Long Rest and reset Exploration Zone. Player can decide the order of these two moves.</t>
  </si>
  <si>
    <t>炸药</t>
    <phoneticPr fontId="1" type="noConversion"/>
  </si>
  <si>
    <t>药水，弹药</t>
    <phoneticPr fontId="1" type="noConversion"/>
  </si>
  <si>
    <t>Dynamite</t>
    <phoneticPr fontId="1" type="noConversion"/>
  </si>
  <si>
    <t>Can be used before making actions: Cost X potions and 1 ammo. Then select a column in Exploration Zone. Send the topmost card of that column to Graveyard. X is the rank of that card. Additionally, if the topmost cards of the adjacent columns have a rank no higher than X, send them to Graveyard as well.</t>
    <phoneticPr fontId="1" type="noConversion"/>
  </si>
  <si>
    <t>弹药</t>
    <phoneticPr fontId="1" type="noConversion"/>
  </si>
  <si>
    <t>Bow</t>
  </si>
  <si>
    <t>Can be used in a battle round: Cost 1 ammo. Then select a { monster } card in this row. Its rank is reduced by 1. This effect can be used multiple times for every battle round.</t>
    <phoneticPr fontId="1" type="noConversion"/>
  </si>
  <si>
    <t>霰弹枪</t>
    <phoneticPr fontId="1" type="noConversion"/>
  </si>
  <si>
    <t>Shotgun</t>
  </si>
  <si>
    <t>Can be used in a battle round: Cost 1 ammo. Then decrease the rank of all cards in that row by one.</t>
    <phoneticPr fontId="1" type="noConversion"/>
  </si>
  <si>
    <t>炮</t>
    <phoneticPr fontId="1" type="noConversion"/>
  </si>
  <si>
    <t>Cannon</t>
    <phoneticPr fontId="1" type="noConversion"/>
  </si>
  <si>
    <t>Can be used before making actions: Cost X ammo. Then select a column in Exploration Zone. Send all cards in that column whose rank is no higher than X to Graveyard.</t>
    <phoneticPr fontId="1" type="noConversion"/>
  </si>
  <si>
    <t>传送枪</t>
    <phoneticPr fontId="1" type="noConversion"/>
  </si>
  <si>
    <t>Portal gun</t>
    <phoneticPr fontId="1" type="noConversion"/>
  </si>
  <si>
    <t>Can be used before making actions: Cost 1 ammo. Then select two cards from your hand or Exploration Zone and swap them.</t>
    <phoneticPr fontId="1" type="noConversion"/>
  </si>
  <si>
    <t>金币枪</t>
    <phoneticPr fontId="1" type="noConversion"/>
  </si>
  <si>
    <t>Coin gun</t>
    <phoneticPr fontId="1" type="noConversion"/>
  </si>
  <si>
    <t>Can be used in a battle round: Cost X gold and 1 ammo. Then decrease the rank of all { Monster } cards on Opponent's Side by X. Player gains 1 gold for each card sent to Graveyard by this effect.</t>
    <phoneticPr fontId="1" type="noConversion"/>
  </si>
  <si>
    <t>cardName</t>
    <phoneticPr fontId="1" type="noConversion"/>
  </si>
  <si>
    <t>tags</t>
    <phoneticPr fontId="1" type="noConversion"/>
  </si>
  <si>
    <t>cardNameEn</t>
    <phoneticPr fontId="1" type="noConversion"/>
  </si>
  <si>
    <t>tagsEn</t>
    <phoneticPr fontId="1" type="noConversion"/>
  </si>
  <si>
    <t>effect</t>
    <phoneticPr fontId="1" type="noConversion"/>
  </si>
  <si>
    <t>effectEn</t>
    <phoneticPr fontId="1" type="noConversion"/>
  </si>
  <si>
    <t>imageFile</t>
    <phoneticPr fontId="1" type="noConversion"/>
  </si>
  <si>
    <t>Disarm trap</t>
    <phoneticPr fontId="1" type="noConversion"/>
  </si>
  <si>
    <t>Can be used when a [Skeleton] card calls: Negate that effect.</t>
    <phoneticPr fontId="1" type="noConversion"/>
  </si>
  <si>
    <t>寻路石</t>
    <phoneticPr fontId="1" type="noConversion"/>
  </si>
  <si>
    <t>酒杯</t>
    <phoneticPr fontId="1" type="noConversion"/>
  </si>
  <si>
    <t>Wine glasses</t>
  </si>
  <si>
    <t>Can only be used once per Long Rest. &lt;br&gt;
Can be used when you need to set cards into Battlefield: For all rows in Battlefield, if there is any card on Opponent's Side but no card on Player's Side, take a card from Main Deck and put that card on Player's Side of that row.</t>
    <phoneticPr fontId="1" type="noConversion"/>
  </si>
  <si>
    <t>食物</t>
  </si>
  <si>
    <t>药水</t>
  </si>
  <si>
    <t>结界</t>
    <phoneticPr fontId="1" type="noConversion"/>
  </si>
  <si>
    <t>Lich Sword</t>
    <phoneticPr fontId="1" type="noConversion"/>
  </si>
  <si>
    <t>药水</t>
    <phoneticPr fontId="1" type="noConversion"/>
  </si>
  <si>
    <t>预见针剂</t>
    <phoneticPr fontId="1" type="noConversion"/>
  </si>
  <si>
    <t>charge</t>
    <phoneticPr fontId="1" type="noConversion"/>
  </si>
  <si>
    <t>食物，药水·</t>
    <phoneticPr fontId="1" type="noConversion"/>
  </si>
  <si>
    <t>复位1张升级牌。</t>
    <phoneticPr fontId="1" type="noConversion"/>
  </si>
  <si>
    <t>复位每个属性的升级牌各1张。</t>
    <phoneticPr fontId="1" type="noConversion"/>
  </si>
  <si>
    <t>将弃牌堆顶1张牌洗回主牌堆。</t>
    <phoneticPr fontId="1" type="noConversion"/>
  </si>
  <si>
    <t>将弃牌堆顶1张牌加入手牌。</t>
    <phoneticPr fontId="1" type="noConversion"/>
  </si>
  <si>
    <t>选空档区1张牌加入手牌。</t>
    <phoneticPr fontId="1" type="noConversion"/>
  </si>
  <si>
    <t>回复1生命。</t>
    <phoneticPr fontId="1" type="noConversion"/>
  </si>
  <si>
    <t>将1张横置的升级牌复位。</t>
    <phoneticPr fontId="1" type="noConversion"/>
  </si>
  <si>
    <t>选择1个牌堆，观看其顶端5张牌，以任意顺序将其中任意张牌放在顶部，其余牌按任意顺序放在底部。</t>
    <phoneticPr fontId="1" type="noConversion"/>
  </si>
  <si>
    <t>从升级牌堆翻开3张牌，选其中1张牌替换升级牌区的1张牌。</t>
    <phoneticPr fontId="1" type="noConversion"/>
  </si>
  <si>
    <t>混沌石</t>
    <phoneticPr fontId="1" type="noConversion"/>
  </si>
  <si>
    <t>重抽手牌或房间区任意1张怪物牌。</t>
    <phoneticPr fontId="1" type="noConversion"/>
  </si>
  <si>
    <t>将主牌堆第1张怪物牌加入手牌。</t>
    <phoneticPr fontId="1" type="noConversion"/>
  </si>
  <si>
    <t>对房间区每个非空列，从主牌堆发1张牌在其最前方。&lt;br&gt;
持续 本牌横置时，翻开遭遇牌时可额外翻开2张，选择遭遇牌时可额外选择1张。</t>
    <phoneticPr fontId="1" type="noConversion"/>
  </si>
  <si>
    <t>将房间区最前方的所有牌送墓。</t>
    <phoneticPr fontId="1" type="noConversion"/>
  </si>
  <si>
    <t>弩</t>
    <phoneticPr fontId="1" type="noConversion"/>
  </si>
  <si>
    <t>选房间区一列，其中所有牌点数减1。</t>
    <phoneticPr fontId="1" type="noConversion"/>
  </si>
  <si>
    <t>从房间区和手牌中选合计两张牌，交换它们的位置。</t>
    <phoneticPr fontId="1" type="noConversion"/>
  </si>
  <si>
    <t>选房间区1张牌，消耗X金币，使其点数减X。那张牌因点数降至0以下而送墓时，玩家获得1金币。</t>
    <phoneticPr fontId="1" type="noConversion"/>
  </si>
  <si>
    <t>开战前可以发动：无效战场中所有怪物牌的呼唤效果。</t>
    <phoneticPr fontId="1" type="noConversion"/>
  </si>
  <si>
    <t>选择遭遇牌后可以发动：将1张未选中的遭遇牌放回遭遇牌堆顶。</t>
    <phoneticPr fontId="1" type="noConversion"/>
  </si>
  <si>
    <t>开战前可以发动：按从后向前的顺序，对每一个玩家侧没有牌、而敌人侧有牌的单元格，从主牌堆发1张牌。然后立即开战。</t>
    <phoneticPr fontId="1" type="noConversion"/>
  </si>
  <si>
    <t>玩家交锋压制时可以发动：选玩家侧1张牌送墓。</t>
    <phoneticPr fontId="1" type="noConversion"/>
  </si>
  <si>
    <t>选手牌或房间区牌的1张牌，从主牌堆检索1张同名牌加入手牌。</t>
    <phoneticPr fontId="1" type="noConversion"/>
  </si>
  <si>
    <t>选房间区最前方1张怪物牌，其点数减2。</t>
  </si>
  <si>
    <t>从遗物牌堆翻开3张牌，选其中1张牌替换遗物区1张牌。</t>
    <phoneticPr fontId="1" type="noConversion"/>
  </si>
  <si>
    <t>玩家交锋压制时可以发动：选玩家侧1张牌加入手牌。</t>
    <phoneticPr fontId="1" type="noConversion"/>
  </si>
  <si>
    <t>将手牌或房间区最前方的1张怪物牌送墓，然后获得1金币。那张怪物牌的点数每比2大1点，玩家额外获得1金币。</t>
    <phoneticPr fontId="1" type="noConversion"/>
  </si>
  <si>
    <t>选房间区1张陷阱牌加入手牌。</t>
    <phoneticPr fontId="1" type="noConversion"/>
  </si>
  <si>
    <t>使房间区1张牌点数加1。</t>
    <phoneticPr fontId="1" type="noConversion"/>
  </si>
  <si>
    <t>使房间区1张牌点数减1。</t>
    <phoneticPr fontId="1" type="noConversion"/>
  </si>
  <si>
    <t>选房间区1张怪物牌洗回主牌堆。</t>
    <phoneticPr fontId="1" type="noConversion"/>
  </si>
  <si>
    <t>重抽房间区所有牌。</t>
    <phoneticPr fontId="1" type="noConversion"/>
  </si>
  <si>
    <t>交锋时可以发动：敌人侧所有怪物牌点数减1。</t>
    <phoneticPr fontId="1" type="noConversion"/>
  </si>
  <si>
    <t>选手牌1张怪物牌弃置，将房间区所有含有那张牌标签的怪物牌送墓。</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</si>
</sst>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等线"/>
      <family val="2"/>
      <scheme val="minor"/>
    </font>
    <font>
      <sz val="9"/>
      <name val="等线"/>
      <family val="3"/>
      <charset val="134"/>
      <scheme val="minor"/>
    </font>
    <font>
      <sz val="11"/>
      <color theme="1"/>
      <name val="等线"/>
      <family val="3"/>
      <charset val="134"/>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4">
    <xf numFmtId="0" fontId="0" fillId="0" borderId="0" xfId="0"/>
    <xf numFmtId="0" fontId="0" fillId="0" borderId="0" xfId="0" applyAlignment="1">
      <alignment wrapText="1"/>
    </xf>
    <xf numFmtId="0" fontId="2" fillId="0" borderId="0" xfId="1"/>
    <xf numFmtId="0" fontId="2" fillId="0" borderId="0" xfId="1" applyAlignment="1">
      <alignment wrapText="1"/>
    </xf>
  </cellXfs>
  <cellStyles count="2">
    <cellStyle name="常规" xfId="0" builtinId="0"/>
    <cellStyle name="常规 2" xfId="1" xr:uid="{3F26E969-33F9-4B70-B7E1-B7F5C13D5A0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3"/>
  <sheetViews>
    <sheetView tabSelected="1" topLeftCell="A18" workbookViewId="0">
      <selection activeCell="E18" sqref="E18"/>
    </sheetView>
  </sheetViews>
  <sheetFormatPr defaultRowHeight="14.25" x14ac:dyDescent="0.2"/>
  <sheetData>
    <row r="1" spans="1:8" x14ac:dyDescent="0.2">
      <c r="A1" t="s">
        <v>86</v>
      </c>
      <c r="B1" t="s">
        <v>87</v>
      </c>
      <c r="C1" t="s">
        <v>105</v>
      </c>
      <c r="D1" t="s">
        <v>90</v>
      </c>
      <c r="E1" t="s">
        <v>88</v>
      </c>
      <c r="F1" t="s">
        <v>89</v>
      </c>
      <c r="G1" t="s">
        <v>91</v>
      </c>
      <c r="H1" t="s">
        <v>92</v>
      </c>
    </row>
    <row r="2" spans="1:8" ht="114" x14ac:dyDescent="0.2">
      <c r="A2" t="s">
        <v>101</v>
      </c>
      <c r="B2" s="1" t="s">
        <v>33</v>
      </c>
      <c r="C2" s="1">
        <v>2</v>
      </c>
      <c r="D2" s="1" t="s">
        <v>125</v>
      </c>
      <c r="E2" s="2" t="s">
        <v>102</v>
      </c>
      <c r="F2" t="str" cm="1">
        <f t="array" ref="F2">_xlfn.SWITCH(B2, "药水", "Potion", "食物", "Food", "弹药", "Ammo", "卷轴", "Scroll", "")</f>
        <v>Scroll</v>
      </c>
      <c r="G2" s="3" t="s">
        <v>94</v>
      </c>
    </row>
    <row r="3" spans="1:8" ht="114" x14ac:dyDescent="0.2">
      <c r="A3" t="s">
        <v>95</v>
      </c>
      <c r="B3" s="1" t="s">
        <v>71</v>
      </c>
      <c r="C3" s="1">
        <v>1</v>
      </c>
      <c r="D3" s="1" t="s">
        <v>126</v>
      </c>
      <c r="F3" t="str" cm="1">
        <f t="array" ref="F3">_xlfn.SWITCH(B3, "药水", "Potion", "食物", "Food", "弹药", "Ammo", "卷轴", "Scroll", "")</f>
        <v>Ammo</v>
      </c>
    </row>
    <row r="4" spans="1:8" ht="409.5" x14ac:dyDescent="0.2">
      <c r="A4" t="s">
        <v>96</v>
      </c>
      <c r="B4" s="1" t="s">
        <v>106</v>
      </c>
      <c r="C4" s="1"/>
      <c r="D4" s="1" t="s">
        <v>127</v>
      </c>
      <c r="E4" s="2" t="s">
        <v>97</v>
      </c>
      <c r="F4" t="str" cm="1">
        <f t="array" ref="F4">_xlfn.SWITCH(B4, "药水", "Potion", "食物", "Food", "弹药", "Ammo", "卷轴", "Scroll", "")</f>
        <v/>
      </c>
      <c r="G4" s="3" t="s">
        <v>98</v>
      </c>
    </row>
    <row r="5" spans="1:8" ht="171" x14ac:dyDescent="0.2">
      <c r="A5" t="s">
        <v>0</v>
      </c>
      <c r="B5" t="s">
        <v>1</v>
      </c>
      <c r="C5">
        <v>1</v>
      </c>
      <c r="D5" s="1" t="s">
        <v>107</v>
      </c>
      <c r="E5" s="2" t="s">
        <v>2</v>
      </c>
      <c r="F5" t="str" cm="1">
        <f t="array" ref="F5">_xlfn.SWITCH(B5, "药水", "Potion", "食物", "Food", "弹药", "Ammo", "卷轴", "Scroll", "")</f>
        <v>Food</v>
      </c>
      <c r="G5" s="3" t="s">
        <v>3</v>
      </c>
    </row>
    <row r="6" spans="1:8" ht="228" x14ac:dyDescent="0.2">
      <c r="A6" t="s">
        <v>4</v>
      </c>
      <c r="B6" t="s">
        <v>99</v>
      </c>
      <c r="C6">
        <v>3</v>
      </c>
      <c r="D6" s="1" t="s">
        <v>108</v>
      </c>
      <c r="E6" s="2" t="s">
        <v>5</v>
      </c>
      <c r="F6" t="str" cm="1">
        <f t="array" ref="F6">_xlfn.SWITCH(B6, "药水", "Potion", "食物", "Food", "弹药", "Ammo", "卷轴", "Scroll", "")</f>
        <v>Food</v>
      </c>
      <c r="G6" s="3" t="s">
        <v>6</v>
      </c>
    </row>
    <row r="7" spans="1:8" ht="228" x14ac:dyDescent="0.2">
      <c r="A7" t="s">
        <v>7</v>
      </c>
      <c r="B7" t="s">
        <v>99</v>
      </c>
      <c r="C7" s="1">
        <v>2</v>
      </c>
      <c r="D7" s="1" t="s">
        <v>109</v>
      </c>
      <c r="E7" s="2" t="s">
        <v>8</v>
      </c>
      <c r="F7" t="str" cm="1">
        <f t="array" ref="F7">_xlfn.SWITCH(B7, "药水", "Potion", "食物", "Food", "弹药", "Ammo", "卷轴", "Scroll", "")</f>
        <v>Food</v>
      </c>
      <c r="G7" s="3" t="s">
        <v>9</v>
      </c>
    </row>
    <row r="8" spans="1:8" ht="299.25" x14ac:dyDescent="0.2">
      <c r="A8" t="s">
        <v>10</v>
      </c>
      <c r="B8" t="s">
        <v>99</v>
      </c>
      <c r="C8" s="1">
        <v>3</v>
      </c>
      <c r="D8" s="1" t="s">
        <v>110</v>
      </c>
      <c r="E8" s="2" t="s">
        <v>11</v>
      </c>
      <c r="F8" t="str" cm="1">
        <f t="array" ref="F8">_xlfn.SWITCH(B8, "药水", "Potion", "食物", "Food", "弹药", "Ammo", "卷轴", "Scroll", "")</f>
        <v>Food</v>
      </c>
      <c r="G8" s="3" t="s">
        <v>12</v>
      </c>
    </row>
    <row r="9" spans="1:8" ht="299.25" x14ac:dyDescent="0.2">
      <c r="A9" t="s">
        <v>13</v>
      </c>
      <c r="B9" t="s">
        <v>99</v>
      </c>
      <c r="C9" s="1">
        <v>3</v>
      </c>
      <c r="D9" s="1" t="s">
        <v>111</v>
      </c>
      <c r="E9" s="2" t="s">
        <v>14</v>
      </c>
      <c r="F9" t="str" cm="1">
        <f t="array" ref="F9">_xlfn.SWITCH(B9, "药水", "Potion", "食物", "Food", "弹药", "Ammo", "卷轴", "Scroll", "")</f>
        <v>Food</v>
      </c>
      <c r="G9" s="3" t="s">
        <v>15</v>
      </c>
    </row>
    <row r="10" spans="1:8" ht="156.75" x14ac:dyDescent="0.2">
      <c r="A10" t="s">
        <v>16</v>
      </c>
      <c r="B10" t="s">
        <v>100</v>
      </c>
      <c r="C10" s="1">
        <v>1</v>
      </c>
      <c r="D10" s="1" t="s">
        <v>112</v>
      </c>
      <c r="E10" s="2" t="s">
        <v>17</v>
      </c>
      <c r="F10" t="str" cm="1">
        <f t="array" ref="F10">_xlfn.SWITCH(B10, "药水", "Potion", "食物", "Food", "弹药", "Ammo", "卷轴", "Scroll", "")</f>
        <v>Potion</v>
      </c>
      <c r="G10" s="3" t="s">
        <v>18</v>
      </c>
    </row>
    <row r="11" spans="1:8" ht="370.5" x14ac:dyDescent="0.2">
      <c r="A11" t="s">
        <v>19</v>
      </c>
      <c r="B11" t="s">
        <v>100</v>
      </c>
      <c r="C11" s="1">
        <v>1</v>
      </c>
      <c r="D11" s="1" t="s">
        <v>128</v>
      </c>
      <c r="E11" s="2" t="s">
        <v>20</v>
      </c>
      <c r="F11" t="str" cm="1">
        <f t="array" ref="F11">_xlfn.SWITCH(B11, "药水", "Potion", "食物", "Food", "弹药", "Ammo", "卷轴", "Scroll", "")</f>
        <v>Potion</v>
      </c>
      <c r="G11" s="3" t="s">
        <v>21</v>
      </c>
    </row>
    <row r="12" spans="1:8" ht="409.5" x14ac:dyDescent="0.2">
      <c r="A12" t="s">
        <v>22</v>
      </c>
      <c r="B12" t="s">
        <v>100</v>
      </c>
      <c r="C12" s="1">
        <v>2</v>
      </c>
      <c r="D12" s="1" t="s">
        <v>129</v>
      </c>
      <c r="E12" s="2" t="s">
        <v>23</v>
      </c>
      <c r="F12" t="str" cm="1">
        <f t="array" ref="F12">_xlfn.SWITCH(B12, "药水", "Potion", "食物", "Food", "弹药", "Ammo", "卷轴", "Scroll", "")</f>
        <v>Potion</v>
      </c>
      <c r="G12" s="3" t="s">
        <v>24</v>
      </c>
    </row>
    <row r="13" spans="1:8" ht="199.5" x14ac:dyDescent="0.2">
      <c r="A13" t="s">
        <v>25</v>
      </c>
      <c r="B13" t="s">
        <v>100</v>
      </c>
      <c r="C13" s="1">
        <v>2</v>
      </c>
      <c r="D13" s="1" t="s">
        <v>113</v>
      </c>
      <c r="E13" s="2" t="s">
        <v>26</v>
      </c>
      <c r="F13" t="str" cm="1">
        <f t="array" ref="F13">_xlfn.SWITCH(B13, "药水", "Potion", "食物", "Food", "弹药", "Ammo", "卷轴", "Scroll", "")</f>
        <v>Potion</v>
      </c>
      <c r="G13" s="3" t="s">
        <v>27</v>
      </c>
    </row>
    <row r="14" spans="1:8" ht="409.5" x14ac:dyDescent="0.2">
      <c r="A14" t="s">
        <v>104</v>
      </c>
      <c r="B14" t="s">
        <v>103</v>
      </c>
      <c r="C14" s="1">
        <v>1</v>
      </c>
      <c r="D14" s="1" t="s">
        <v>114</v>
      </c>
      <c r="E14" s="2" t="s">
        <v>28</v>
      </c>
      <c r="F14" t="str" cm="1">
        <f t="array" ref="F14">_xlfn.SWITCH(B14, "药水", "Potion", "食物", "Food", "弹药", "Ammo", "卷轴", "Scroll", "")</f>
        <v>Potion</v>
      </c>
      <c r="G14" s="3" t="s">
        <v>29</v>
      </c>
    </row>
    <row r="15" spans="1:8" ht="384.75" x14ac:dyDescent="0.2">
      <c r="A15" t="s">
        <v>30</v>
      </c>
      <c r="B15" t="s">
        <v>100</v>
      </c>
      <c r="C15" s="1">
        <v>2</v>
      </c>
      <c r="D15" s="1" t="s">
        <v>115</v>
      </c>
      <c r="E15" s="2" t="s">
        <v>31</v>
      </c>
      <c r="F15" t="str" cm="1">
        <f t="array" ref="F15">_xlfn.SWITCH(B15, "药水", "Potion", "食物", "Food", "弹药", "Ammo", "卷轴", "Scroll", "")</f>
        <v>Potion</v>
      </c>
      <c r="G15" s="3" t="s">
        <v>32</v>
      </c>
    </row>
    <row r="16" spans="1:8" ht="213.75" x14ac:dyDescent="0.2">
      <c r="A16" t="s">
        <v>116</v>
      </c>
      <c r="B16" t="s">
        <v>71</v>
      </c>
      <c r="C16" s="1">
        <v>2</v>
      </c>
      <c r="D16" s="1" t="s">
        <v>131</v>
      </c>
      <c r="E16" s="2" t="s">
        <v>34</v>
      </c>
      <c r="F16" t="str" cm="1">
        <f t="array" ref="F16">_xlfn.SWITCH(B16, "药水", "Potion", "食物", "Food", "弹药", "Ammo", "卷轴", "Scroll", "")</f>
        <v>Ammo</v>
      </c>
      <c r="G16" s="3" t="s">
        <v>35</v>
      </c>
    </row>
    <row r="17" spans="1:7" ht="370.5" x14ac:dyDescent="0.2">
      <c r="A17" t="s">
        <v>36</v>
      </c>
      <c r="B17" t="s">
        <v>64</v>
      </c>
      <c r="C17" s="1">
        <v>1</v>
      </c>
      <c r="D17" s="1" t="s">
        <v>132</v>
      </c>
      <c r="E17" s="2" t="s">
        <v>37</v>
      </c>
      <c r="F17" t="str" cm="1">
        <f t="array" ref="F17">_xlfn.SWITCH(B17, "药水", "Potion", "食物", "Food", "弹药", "Ammo", "卷轴", "Scroll", "")</f>
        <v>Scroll</v>
      </c>
      <c r="G17" s="3" t="s">
        <v>38</v>
      </c>
    </row>
    <row r="18" spans="1:7" ht="370.5" x14ac:dyDescent="0.2">
      <c r="A18" t="s">
        <v>39</v>
      </c>
      <c r="B18" t="s">
        <v>64</v>
      </c>
      <c r="C18" s="1">
        <v>3</v>
      </c>
      <c r="D18" s="1" t="s">
        <v>140</v>
      </c>
      <c r="E18" s="2" t="s">
        <v>40</v>
      </c>
      <c r="F18" t="str" cm="1">
        <f t="array" ref="F18">_xlfn.SWITCH(B18, "药水", "Potion", "食物", "Food", "弹药", "Ammo", "卷轴", "Scroll", "")</f>
        <v>Scroll</v>
      </c>
      <c r="G18" s="3" t="s">
        <v>41</v>
      </c>
    </row>
    <row r="19" spans="1:7" ht="409.5" x14ac:dyDescent="0.2">
      <c r="A19" t="s">
        <v>42</v>
      </c>
      <c r="B19" t="s">
        <v>64</v>
      </c>
      <c r="C19" s="1">
        <v>3</v>
      </c>
      <c r="D19" s="1" t="s">
        <v>133</v>
      </c>
      <c r="E19" s="2" t="s">
        <v>43</v>
      </c>
      <c r="F19" t="str" cm="1">
        <f t="array" ref="F19">_xlfn.SWITCH(B19, "药水", "Potion", "食物", "Food", "弹药", "Ammo", "卷轴", "Scroll", "")</f>
        <v>Scroll</v>
      </c>
      <c r="G19" s="3" t="s">
        <v>44</v>
      </c>
    </row>
    <row r="20" spans="1:7" ht="185.25" x14ac:dyDescent="0.2">
      <c r="A20" t="s">
        <v>45</v>
      </c>
      <c r="B20" t="s">
        <v>64</v>
      </c>
      <c r="C20" s="1">
        <v>1</v>
      </c>
      <c r="D20" s="1" t="s">
        <v>117</v>
      </c>
      <c r="E20" s="2" t="s">
        <v>46</v>
      </c>
      <c r="F20" t="str" cm="1">
        <f t="array" ref="F20">_xlfn.SWITCH(B20, "药水", "Potion", "食物", "Food", "弹药", "Ammo", "卷轴", "Scroll", "")</f>
        <v>Scroll</v>
      </c>
      <c r="G20" s="3" t="s">
        <v>47</v>
      </c>
    </row>
    <row r="21" spans="1:7" ht="57" x14ac:dyDescent="0.2">
      <c r="A21" t="s">
        <v>48</v>
      </c>
      <c r="B21" t="s">
        <v>64</v>
      </c>
      <c r="C21" s="1">
        <v>2</v>
      </c>
      <c r="D21" s="1" t="s">
        <v>118</v>
      </c>
      <c r="E21" s="2"/>
      <c r="F21" t="str" cm="1">
        <f t="array" ref="F21">_xlfn.SWITCH(B21, "药水", "Potion", "食物", "Food", "弹药", "Ammo", "卷轴", "Scroll", "")</f>
        <v>Scroll</v>
      </c>
      <c r="G21" s="3"/>
    </row>
    <row r="22" spans="1:7" ht="409.5" x14ac:dyDescent="0.2">
      <c r="A22" t="s">
        <v>49</v>
      </c>
      <c r="B22" t="s">
        <v>33</v>
      </c>
      <c r="C22" s="1">
        <v>3</v>
      </c>
      <c r="D22" s="1" t="s">
        <v>119</v>
      </c>
      <c r="E22" s="2" t="s">
        <v>50</v>
      </c>
      <c r="F22" t="str" cm="1">
        <f t="array" ref="F22">_xlfn.SWITCH(B22, "药水", "Potion", "食物", "Food", "弹药", "Ammo", "卷轴", "Scroll", "")</f>
        <v>Scroll</v>
      </c>
      <c r="G22" s="3" t="s">
        <v>51</v>
      </c>
    </row>
    <row r="23" spans="1:7" ht="199.5" x14ac:dyDescent="0.2">
      <c r="A23" t="s">
        <v>52</v>
      </c>
      <c r="B23" t="s">
        <v>33</v>
      </c>
      <c r="C23" s="1">
        <v>2</v>
      </c>
      <c r="D23" s="1" t="s">
        <v>134</v>
      </c>
      <c r="E23" s="2" t="s">
        <v>93</v>
      </c>
      <c r="F23" t="str" cm="1">
        <f t="array" ref="F23">_xlfn.SWITCH(B23, "药水", "Potion", "食物", "Food", "弹药", "Ammo", "卷轴", "Scroll", "")</f>
        <v>Scroll</v>
      </c>
      <c r="G23" s="3" t="s">
        <v>53</v>
      </c>
    </row>
    <row r="24" spans="1:7" ht="185.25" x14ac:dyDescent="0.2">
      <c r="A24" t="s">
        <v>54</v>
      </c>
      <c r="B24" t="s">
        <v>33</v>
      </c>
      <c r="C24" s="1">
        <v>1</v>
      </c>
      <c r="D24" s="1" t="s">
        <v>135</v>
      </c>
      <c r="E24" s="2" t="s">
        <v>55</v>
      </c>
      <c r="F24" t="str" cm="1">
        <f t="array" ref="F24">_xlfn.SWITCH(B24, "药水", "Potion", "食物", "Food", "弹药", "Ammo", "卷轴", "Scroll", "")</f>
        <v>Scroll</v>
      </c>
      <c r="G24" s="3" t="s">
        <v>56</v>
      </c>
    </row>
    <row r="25" spans="1:7" ht="42.75" x14ac:dyDescent="0.2">
      <c r="A25" t="s">
        <v>57</v>
      </c>
      <c r="B25" t="s">
        <v>33</v>
      </c>
      <c r="C25" s="1">
        <v>1</v>
      </c>
      <c r="D25" s="1" t="s">
        <v>136</v>
      </c>
      <c r="E25" s="2" t="s">
        <v>58</v>
      </c>
      <c r="F25" s="2" t="s">
        <v>59</v>
      </c>
      <c r="G25" s="3"/>
    </row>
    <row r="26" spans="1:7" ht="213.75" x14ac:dyDescent="0.2">
      <c r="A26" t="s">
        <v>60</v>
      </c>
      <c r="B26" t="s">
        <v>33</v>
      </c>
      <c r="C26" s="1">
        <v>2</v>
      </c>
      <c r="D26" s="1" t="s">
        <v>137</v>
      </c>
      <c r="E26" s="2" t="s">
        <v>61</v>
      </c>
      <c r="F26" t="str" cm="1">
        <f t="array" ref="F26">_xlfn.SWITCH(B26, "药水", "Potion", "食物", "Food", "弹药", "Ammo", "卷轴", "Scroll", "")</f>
        <v>Scroll</v>
      </c>
      <c r="G26" s="3" t="s">
        <v>62</v>
      </c>
    </row>
    <row r="27" spans="1:7" ht="270.75" x14ac:dyDescent="0.2">
      <c r="A27" t="s">
        <v>63</v>
      </c>
      <c r="B27" t="s">
        <v>64</v>
      </c>
      <c r="C27" s="1">
        <v>2</v>
      </c>
      <c r="D27" s="1" t="s">
        <v>138</v>
      </c>
      <c r="E27" s="2" t="s">
        <v>65</v>
      </c>
      <c r="F27" t="str" cm="1">
        <f t="array" ref="F27">_xlfn.SWITCH(B27, "药水", "Potion", "食物", "Food", "弹药", "Ammo", "卷轴", "Scroll", "")</f>
        <v>Scroll</v>
      </c>
      <c r="G27" s="3" t="s">
        <v>66</v>
      </c>
    </row>
    <row r="28" spans="1:7" ht="409.5" x14ac:dyDescent="0.2">
      <c r="A28" t="s">
        <v>67</v>
      </c>
      <c r="B28" t="s">
        <v>68</v>
      </c>
      <c r="C28" s="1">
        <v>2</v>
      </c>
      <c r="D28" s="1" t="s">
        <v>120</v>
      </c>
      <c r="E28" s="2" t="s">
        <v>69</v>
      </c>
      <c r="F28" t="str" cm="1">
        <f t="array" ref="F28">_xlfn.SWITCH(B28, "药水", "Potion", "食物", "Food", "弹药", "Ammo", "卷轴", "Scroll", "")</f>
        <v/>
      </c>
      <c r="G28" s="3" t="s">
        <v>70</v>
      </c>
    </row>
    <row r="29" spans="1:7" ht="299.25" x14ac:dyDescent="0.2">
      <c r="A29" t="s">
        <v>121</v>
      </c>
      <c r="B29" t="s">
        <v>71</v>
      </c>
      <c r="C29" s="1">
        <v>1</v>
      </c>
      <c r="D29" s="1" t="s">
        <v>130</v>
      </c>
      <c r="E29" s="2" t="s">
        <v>72</v>
      </c>
      <c r="F29" t="str" cm="1">
        <f t="array" ref="F29">_xlfn.SWITCH(B29, "药水", "Potion", "食物", "Food", "弹药", "Ammo", "卷轴", "Scroll", "")</f>
        <v>Ammo</v>
      </c>
      <c r="G29" s="3" t="s">
        <v>73</v>
      </c>
    </row>
    <row r="30" spans="1:7" ht="185.25" x14ac:dyDescent="0.2">
      <c r="A30" t="s">
        <v>74</v>
      </c>
      <c r="B30" t="s">
        <v>71</v>
      </c>
      <c r="C30" s="1">
        <v>1</v>
      </c>
      <c r="D30" s="1" t="s">
        <v>139</v>
      </c>
      <c r="E30" s="2" t="s">
        <v>75</v>
      </c>
      <c r="F30" t="str" cm="1">
        <f t="array" ref="F30">_xlfn.SWITCH(B30, "药水", "Potion", "食物", "Food", "弹药", "Ammo", "卷轴", "Scroll", "")</f>
        <v>Ammo</v>
      </c>
      <c r="G30" s="3" t="s">
        <v>76</v>
      </c>
    </row>
    <row r="31" spans="1:7" ht="313.5" x14ac:dyDescent="0.2">
      <c r="A31" t="s">
        <v>77</v>
      </c>
      <c r="B31" t="s">
        <v>71</v>
      </c>
      <c r="C31" s="1">
        <v>2</v>
      </c>
      <c r="D31" s="1" t="s">
        <v>122</v>
      </c>
      <c r="E31" s="2" t="s">
        <v>78</v>
      </c>
      <c r="F31" t="str" cm="1">
        <f t="array" ref="F31">_xlfn.SWITCH(B31, "药水", "Potion", "食物", "Food", "弹药", "Ammo", "卷轴", "Scroll", "")</f>
        <v>Ammo</v>
      </c>
      <c r="G31" s="3" t="s">
        <v>79</v>
      </c>
    </row>
    <row r="32" spans="1:7" ht="228" x14ac:dyDescent="0.2">
      <c r="A32" t="s">
        <v>80</v>
      </c>
      <c r="B32" t="s">
        <v>71</v>
      </c>
      <c r="C32" s="1">
        <v>1</v>
      </c>
      <c r="D32" s="1" t="s">
        <v>123</v>
      </c>
      <c r="E32" s="2" t="s">
        <v>81</v>
      </c>
      <c r="F32" t="str" cm="1">
        <f t="array" ref="F32">_xlfn.SWITCH(B32, "药水", "Potion", "食物", "Food", "弹药", "Ammo", "卷轴", "Scroll", "")</f>
        <v>Ammo</v>
      </c>
      <c r="G32" s="3" t="s">
        <v>82</v>
      </c>
    </row>
    <row r="33" spans="1:7" ht="327.75" x14ac:dyDescent="0.2">
      <c r="A33" t="s">
        <v>83</v>
      </c>
      <c r="B33" t="s">
        <v>71</v>
      </c>
      <c r="C33" s="1">
        <v>1</v>
      </c>
      <c r="D33" s="1" t="s">
        <v>124</v>
      </c>
      <c r="E33" s="2" t="s">
        <v>84</v>
      </c>
      <c r="F33" t="str" cm="1">
        <f t="array" ref="F33">_xlfn.SWITCH(B33, "药水", "Potion", "食物", "Food", "弹药", "Ammo", "卷轴", "Scroll", "")</f>
        <v>Ammo</v>
      </c>
      <c r="G33" s="3" t="s">
        <v>85</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管文瀚</dc:creator>
  <cp:lastModifiedBy>文瀚 管</cp:lastModifiedBy>
  <dcterms:created xsi:type="dcterms:W3CDTF">2015-06-05T18:19:34Z</dcterms:created>
  <dcterms:modified xsi:type="dcterms:W3CDTF">2025-07-26T20:39:43Z</dcterms:modified>
</cp:coreProperties>
</file>
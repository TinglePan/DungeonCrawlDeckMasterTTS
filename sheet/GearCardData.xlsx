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CF677911-7F88-480D-BD0D-6906D2BF7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 a="1"/>
  <c r="F13" i="1" s="1"/>
  <c r="F14" i="1" a="1"/>
  <c r="F14" i="1" s="1"/>
  <c r="F3" i="1" a="1"/>
  <c r="F3" i="1" s="1"/>
  <c r="F8" i="1" a="1"/>
  <c r="F8" i="1" s="1"/>
  <c r="F11" i="1" a="1"/>
  <c r="F11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<sst xmlns="http://schemas.openxmlformats.org/spreadsheetml/2006/main" count="62" uniqueCount="50">
  <si>
    <t>cardName</t>
    <phoneticPr fontId="1" type="noConversion"/>
  </si>
  <si>
    <t>tags</t>
    <phoneticPr fontId="1" type="noConversion"/>
  </si>
  <si>
    <t>待办清单</t>
    <phoneticPr fontId="1" type="noConversion"/>
  </si>
  <si>
    <t>睡袋</t>
  </si>
  <si>
    <t>cardNameEn</t>
    <phoneticPr fontId="1" type="noConversion"/>
  </si>
  <si>
    <t>tagsEn</t>
    <phoneticPr fontId="1" type="noConversion"/>
  </si>
  <si>
    <t>Extra pocket</t>
  </si>
  <si>
    <t>Sleeping bag</t>
  </si>
  <si>
    <t>Magic Mirror</t>
  </si>
  <si>
    <t>Lasting: You can put 1 more card in the loot pile.</t>
  </si>
  <si>
    <t>Todo list</t>
    <phoneticPr fontId="1" type="noConversion"/>
  </si>
  <si>
    <t>Lasting: Your Freecell can hold one more card.</t>
    <phoneticPr fontId="1" type="noConversion"/>
  </si>
  <si>
    <t>Triggered (After Long Rest): Draw 1 card.</t>
    <phoneticPr fontId="1" type="noConversion"/>
  </si>
  <si>
    <t>Can be used when using another artifact: If you need to cost ammo, you can consume scrolls instead. And vice versa. (You can not convert part of the cost. For example, an artifact costing 2 scroll cannot be changed to cost 1 scroll and 1 ammo).</t>
  </si>
  <si>
    <t>Can be used when setting cards into Battlefield: You can set card on Opponent's Side.</t>
    <phoneticPr fontId="1" type="noConversion"/>
  </si>
  <si>
    <t>Acrylic card</t>
    <phoneticPr fontId="1" type="noConversion"/>
  </si>
  <si>
    <t>Can be used on game winning: Decrease miss count by one.</t>
    <phoneticPr fontId="1" type="noConversion"/>
  </si>
  <si>
    <t>Magibullet</t>
    <phoneticPr fontId="1" type="noConversion"/>
  </si>
  <si>
    <t>战利品区容量加1。</t>
    <phoneticPr fontId="1" type="noConversion"/>
  </si>
  <si>
    <t>空档区容量加1。</t>
    <phoneticPr fontId="1" type="noConversion"/>
  </si>
  <si>
    <t>心之碎片</t>
    <phoneticPr fontId="1" type="noConversion"/>
  </si>
  <si>
    <t>生命上限加1。</t>
    <phoneticPr fontId="1" type="noConversion"/>
  </si>
  <si>
    <t>手指</t>
    <phoneticPr fontId="1" type="noConversion"/>
  </si>
  <si>
    <t>手牌上限加1</t>
    <phoneticPr fontId="1" type="noConversion"/>
  </si>
  <si>
    <t>麻将牌</t>
    <phoneticPr fontId="1" type="noConversion"/>
  </si>
  <si>
    <t>maxCount</t>
    <phoneticPr fontId="1" type="noConversion"/>
  </si>
  <si>
    <t>effect</t>
    <phoneticPr fontId="1" type="noConversion"/>
  </si>
  <si>
    <t>effectEn</t>
    <phoneticPr fontId="1" type="noConversion"/>
  </si>
  <si>
    <t>imageFile</t>
    <phoneticPr fontId="1" type="noConversion"/>
  </si>
  <si>
    <t>炼药锅</t>
    <phoneticPr fontId="1" type="noConversion"/>
  </si>
  <si>
    <t>魔弹射手</t>
    <phoneticPr fontId="1" type="noConversion"/>
  </si>
  <si>
    <t>背包</t>
    <phoneticPr fontId="1" type="noConversion"/>
  </si>
  <si>
    <t>枕头</t>
    <phoneticPr fontId="1" type="noConversion"/>
  </si>
  <si>
    <t xml:space="preserve">长休时，可以额外消耗1时间。&lt;br&gt;
休息时，每消耗1时间，回复1生命。
</t>
    <phoneticPr fontId="1" type="noConversion"/>
  </si>
  <si>
    <t>被动</t>
  </si>
  <si>
    <t>被动</t>
    <phoneticPr fontId="1" type="noConversion"/>
  </si>
  <si>
    <t xml:space="preserve">长休时，可以额外消耗1时间。&lt;br&gt;
休息时，每消耗1时间，额外抽1张牌。
</t>
    <phoneticPr fontId="1" type="noConversion"/>
  </si>
  <si>
    <t>万能电池</t>
    <phoneticPr fontId="1" type="noConversion"/>
  </si>
  <si>
    <t>可以无视道具牌的标签使用战利品牌充能。</t>
    <phoneticPr fontId="1" type="noConversion"/>
  </si>
  <si>
    <t>使用标签包含“食物”的道具牌后，可以选1张标签包含“药水”的道具牌充1能。</t>
    <phoneticPr fontId="1" type="noConversion"/>
  </si>
  <si>
    <t>使用标签包含“卷轴”的道具牌后，可以选1张标签包含“弹药”的道具牌充1能。</t>
    <phoneticPr fontId="1" type="noConversion"/>
  </si>
  <si>
    <t>魔瓶</t>
    <phoneticPr fontId="1" type="noConversion"/>
  </si>
  <si>
    <t>使用标签包含“药水”的道具牌后，可以选1张标签包含“卷轴”的道具牌充1能。</t>
    <phoneticPr fontId="1" type="noConversion"/>
  </si>
  <si>
    <t>豌豆枪</t>
    <phoneticPr fontId="1" type="noConversion"/>
  </si>
  <si>
    <t>使用标签包含“弹药”的道具牌后，可以选1张标签包含“食物”的道具牌充1能。</t>
    <phoneticPr fontId="1" type="noConversion"/>
  </si>
  <si>
    <t>向战场出牌时，可以将牌出在敌对侧。</t>
    <phoneticPr fontId="1" type="noConversion"/>
  </si>
  <si>
    <t>计分时，失分减1。</t>
    <phoneticPr fontId="1" type="noConversion"/>
  </si>
  <si>
    <t>宝箱怪的牙</t>
    <phoneticPr fontId="1" type="noConversion"/>
  </si>
  <si>
    <t>王冠徽章</t>
    <phoneticPr fontId="1" type="noConversion"/>
  </si>
  <si>
    <t>"史莱姆"牌因效果进入房间区时，可以将其加入手牌。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</si>
</sst>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</cellXfs>
  <cellStyles count="2">
    <cellStyle name="常规" xfId="0" builtinId="0"/>
    <cellStyle name="常规 2" xfId="1" xr:uid="{9DA14E99-9334-4D00-94D1-02BDECB619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A16" sqref="A16"/>
    </sheetView>
  </sheetViews>
  <sheetFormatPr defaultRowHeight="14.25" x14ac:dyDescent="0.2"/>
  <cols>
    <col min="3" max="4" width="35.875" customWidth="1"/>
    <col min="7" max="7" width="53.125" customWidth="1"/>
  </cols>
  <sheetData>
    <row r="1" spans="1:8" x14ac:dyDescent="0.2">
      <c r="A1" t="s">
        <v>0</v>
      </c>
      <c r="B1" t="s">
        <v>1</v>
      </c>
      <c r="C1" t="s">
        <v>25</v>
      </c>
      <c r="D1" t="s">
        <v>26</v>
      </c>
      <c r="E1" t="s">
        <v>4</v>
      </c>
      <c r="F1" t="s">
        <v>5</v>
      </c>
      <c r="G1" t="s">
        <v>27</v>
      </c>
      <c r="H1" t="s">
        <v>28</v>
      </c>
    </row>
    <row r="2" spans="1:8" x14ac:dyDescent="0.2">
      <c r="A2" t="s">
        <v>31</v>
      </c>
      <c r="B2" t="s">
        <v>35</v>
      </c>
      <c r="C2">
        <v>3</v>
      </c>
      <c r="D2" t="s">
        <v>18</v>
      </c>
      <c r="E2" s="2" t="s">
        <v>6</v>
      </c>
      <c r="F2" t="str" cm="1">
        <f t="array" ref="F2">_xlfn.SWITCH(B2, "药水", "Potion", "食物", "Food", "弹药", "Ammo", "卷轴", "Scroll", "")</f>
        <v/>
      </c>
      <c r="G2" s="2" t="s">
        <v>9</v>
      </c>
    </row>
    <row r="3" spans="1:8" x14ac:dyDescent="0.2">
      <c r="A3" t="s">
        <v>2</v>
      </c>
      <c r="B3" t="s">
        <v>35</v>
      </c>
      <c r="C3">
        <v>3</v>
      </c>
      <c r="D3" t="s">
        <v>19</v>
      </c>
      <c r="E3" s="2" t="s">
        <v>10</v>
      </c>
      <c r="F3" t="str" cm="1">
        <f t="array" ref="F3">_xlfn.SWITCH(B3, "药水", "Potion", "食物", "Food", "弹药", "Ammo", "卷轴", "Scroll", "")</f>
        <v/>
      </c>
      <c r="G3" s="2" t="s">
        <v>11</v>
      </c>
    </row>
    <row r="4" spans="1:8" x14ac:dyDescent="0.2">
      <c r="A4" t="s">
        <v>20</v>
      </c>
      <c r="B4" t="s">
        <v>35</v>
      </c>
      <c r="C4" s="1">
        <v>3</v>
      </c>
      <c r="D4" s="1" t="s">
        <v>21</v>
      </c>
      <c r="E4" s="2"/>
      <c r="G4" s="3"/>
    </row>
    <row r="5" spans="1:8" x14ac:dyDescent="0.2">
      <c r="A5" t="s">
        <v>22</v>
      </c>
      <c r="B5" t="s">
        <v>35</v>
      </c>
      <c r="C5" s="1">
        <v>3</v>
      </c>
      <c r="D5" s="1" t="s">
        <v>23</v>
      </c>
      <c r="E5" s="2"/>
      <c r="G5" s="3"/>
    </row>
    <row r="6" spans="1:8" ht="28.5" x14ac:dyDescent="0.2">
      <c r="A6" t="s">
        <v>37</v>
      </c>
      <c r="B6" t="s">
        <v>34</v>
      </c>
      <c r="C6" s="1">
        <v>1</v>
      </c>
      <c r="D6" s="1" t="s">
        <v>38</v>
      </c>
      <c r="E6" s="2"/>
      <c r="G6" s="3"/>
    </row>
    <row r="7" spans="1:8" ht="28.5" x14ac:dyDescent="0.2">
      <c r="A7" t="s">
        <v>29</v>
      </c>
      <c r="B7" t="s">
        <v>34</v>
      </c>
      <c r="C7" s="1">
        <v>1</v>
      </c>
      <c r="D7" s="1" t="s">
        <v>39</v>
      </c>
      <c r="E7" s="2"/>
      <c r="G7" s="3"/>
    </row>
    <row r="8" spans="1:8" ht="57" x14ac:dyDescent="0.2">
      <c r="A8" t="s">
        <v>30</v>
      </c>
      <c r="B8" t="s">
        <v>34</v>
      </c>
      <c r="C8" s="1">
        <v>1</v>
      </c>
      <c r="D8" s="1" t="s">
        <v>40</v>
      </c>
      <c r="E8" s="2" t="s">
        <v>17</v>
      </c>
      <c r="F8" t="str" cm="1">
        <f t="array" ref="F8">_xlfn.SWITCH(B8, "药水", "Potion", "食物", "Food", "弹药", "Ammo", "卷轴", "Scroll", "")</f>
        <v/>
      </c>
      <c r="G8" s="3" t="s">
        <v>13</v>
      </c>
    </row>
    <row r="9" spans="1:8" ht="28.5" x14ac:dyDescent="0.2">
      <c r="A9" t="s">
        <v>41</v>
      </c>
      <c r="B9" t="s">
        <v>34</v>
      </c>
      <c r="C9" s="1">
        <v>1</v>
      </c>
      <c r="D9" s="1" t="s">
        <v>42</v>
      </c>
      <c r="E9" s="2"/>
      <c r="G9" s="3"/>
    </row>
    <row r="10" spans="1:8" ht="28.5" x14ac:dyDescent="0.2">
      <c r="A10" t="s">
        <v>43</v>
      </c>
      <c r="B10" t="s">
        <v>34</v>
      </c>
      <c r="C10" s="1">
        <v>1</v>
      </c>
      <c r="D10" s="1" t="s">
        <v>44</v>
      </c>
      <c r="E10" s="2"/>
      <c r="G10" s="3"/>
    </row>
    <row r="11" spans="1:8" ht="42.75" x14ac:dyDescent="0.2">
      <c r="A11" t="s">
        <v>3</v>
      </c>
      <c r="B11" t="s">
        <v>34</v>
      </c>
      <c r="C11" s="1">
        <v>1</v>
      </c>
      <c r="D11" s="1" t="s">
        <v>33</v>
      </c>
      <c r="E11" s="2" t="s">
        <v>7</v>
      </c>
      <c r="F11" t="str" cm="1">
        <f t="array" ref="F11">_xlfn.SWITCH(B11, "药水", "Potion", "食物", "Food", "弹药", "Ammo", "卷轴", "Scroll", "")</f>
        <v/>
      </c>
      <c r="G11" s="3" t="s">
        <v>12</v>
      </c>
    </row>
    <row r="12" spans="1:8" ht="42.75" x14ac:dyDescent="0.2">
      <c r="A12" t="s">
        <v>32</v>
      </c>
      <c r="B12" t="s">
        <v>34</v>
      </c>
      <c r="C12" s="1">
        <v>1</v>
      </c>
      <c r="D12" s="1" t="s">
        <v>36</v>
      </c>
      <c r="E12" s="2"/>
      <c r="G12" s="3"/>
    </row>
    <row r="13" spans="1:8" ht="28.5" x14ac:dyDescent="0.2">
      <c r="A13" t="s">
        <v>47</v>
      </c>
      <c r="B13" t="s">
        <v>34</v>
      </c>
      <c r="C13" s="1">
        <v>1</v>
      </c>
      <c r="D13" s="1" t="s">
        <v>45</v>
      </c>
      <c r="E13" s="2" t="s">
        <v>8</v>
      </c>
      <c r="F13" t="str" cm="1">
        <f t="array" ref="F13">_xlfn.SWITCH(B13, "药水", "Potion", "食物", "Food", "弹药", "Ammo", "卷轴", "Scroll", "")</f>
        <v/>
      </c>
      <c r="G13" s="3" t="s">
        <v>14</v>
      </c>
    </row>
    <row r="14" spans="1:8" x14ac:dyDescent="0.2">
      <c r="A14" t="s">
        <v>24</v>
      </c>
      <c r="B14" t="s">
        <v>35</v>
      </c>
      <c r="C14" s="1">
        <v>3</v>
      </c>
      <c r="D14" s="1" t="s">
        <v>46</v>
      </c>
      <c r="E14" s="2" t="s">
        <v>15</v>
      </c>
      <c r="F14" t="str" cm="1">
        <f t="array" ref="F14">_xlfn.SWITCH(B14, "药水", "Potion", "食物", "Food", "弹药", "Ammo", "卷轴", "Scroll", "")</f>
        <v/>
      </c>
      <c r="G14" s="3" t="s">
        <v>16</v>
      </c>
    </row>
    <row r="15" spans="1:8" ht="28.5" x14ac:dyDescent="0.2">
      <c r="A15" t="s">
        <v>48</v>
      </c>
      <c r="B15" t="s">
        <v>35</v>
      </c>
      <c r="C15" s="1">
        <v>1</v>
      </c>
      <c r="D15" s="1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2025-08-12T19:48:58Z</dcterms:modified>
</cp:coreProperties>
</file>
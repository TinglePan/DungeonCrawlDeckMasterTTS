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D:\Workspace\nanDeck\DungeonCrawlDeckMaster\sheet\"/>
    </mc:Choice>
  </mc:AlternateContent>
  <xr:revisionPtr revIDLastSave="0" documentId="13_ncr:1_{15889AF8-5655-4705-8D2D-210418A9E9B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 i="1"/>
  <c r="J3" i="1"/>
  <c r="J4" i="1"/>
  <c r="J5" i="1"/>
  <c r="J6" i="1"/>
  <c r="J7" i="1"/>
  <c r="J8" i="1"/>
  <c r="J9" i="1"/>
  <c r="J10" i="1"/>
  <c r="J11" i="1"/>
  <c r="J12" i="1"/>
  <c r="J13" i="1"/>
  <c r="J14" i="1"/>
  <c r="J15" i="1"/>
  <c r="J16" i="1"/>
  <c r="J17" i="1"/>
  <c r="J18" i="1"/>
  <c r="J19" i="1"/>
  <c r="J20" i="1"/>
  <c r="J2" i="1"/>
  <c r="G2" i="1"/>
  <c r="G3" i="1"/>
  <c r="G4" i="1"/>
  <c r="G5" i="1"/>
  <c r="G6" i="1"/>
  <c r="G7" i="1"/>
  <c r="G8" i="1"/>
  <c r="G9" i="1"/>
  <c r="G10" i="1"/>
  <c r="G11" i="1"/>
  <c r="G12" i="1"/>
  <c r="G13" i="1"/>
  <c r="G14" i="1"/>
  <c r="G15" i="1"/>
  <c r="G16" i="1"/>
  <c r="G17" i="1"/>
  <c r="G18" i="1"/>
  <c r="G19" i="1"/>
  <c r="G20" i="1"/>
</calcChain>
</file>

<file path=xl/sharedStrings.xml><?xml version="1.0" encoding="utf-8"?>
<sst xmlns="http://schemas.openxmlformats.org/spreadsheetml/2006/main" count="78" uniqueCount="58">
  <si>
    <t>cardName</t>
    <phoneticPr fontId="1" type="noConversion"/>
  </si>
  <si>
    <t>rank</t>
    <phoneticPr fontId="1" type="noConversion"/>
  </si>
  <si>
    <t>maxCount</t>
    <phoneticPr fontId="1" type="noConversion"/>
  </si>
  <si>
    <t>effect</t>
    <phoneticPr fontId="1" type="noConversion"/>
  </si>
  <si>
    <t>cardNameEn</t>
    <phoneticPr fontId="1" type="noConversion"/>
  </si>
  <si>
    <t>effectEn</t>
    <phoneticPr fontId="1" type="noConversion"/>
  </si>
  <si>
    <t>流沙：广域</t>
    <phoneticPr fontId="1" type="noConversion"/>
  </si>
  <si>
    <t>落穴：广域</t>
    <phoneticPr fontId="1" type="noConversion"/>
  </si>
  <si>
    <t>尖刺：钢铁</t>
    <phoneticPr fontId="1" type="noConversion"/>
  </si>
  <si>
    <t>冷气喷口：广域</t>
    <phoneticPr fontId="1" type="noConversion"/>
  </si>
  <si>
    <t>吹箭：广域</t>
    <phoneticPr fontId="1" type="noConversion"/>
  </si>
  <si>
    <t>滚石：松动</t>
    <phoneticPr fontId="1" type="noConversion"/>
  </si>
  <si>
    <t>传送阵：短距</t>
    <phoneticPr fontId="1" type="noConversion"/>
  </si>
  <si>
    <t>① Triggered (Before battle round): Check if there is any non-empty column in Exploration Zone and there is any { Monster } card in the same row of this card. If so, cancel the battle in this row. Then send this card to Graveyard and insert other cards in that row into any position in Exploration Zone.</t>
    <phoneticPr fontId="1" type="noConversion"/>
  </si>
  <si>
    <t>爆桶：易爆</t>
    <phoneticPr fontId="1" type="noConversion"/>
  </si>
  <si>
    <t>地雷：广域</t>
    <phoneticPr fontId="1" type="noConversion"/>
  </si>
  <si>
    <t>tags</t>
    <phoneticPr fontId="1" type="noConversion"/>
  </si>
  <si>
    <t>改造陷阱</t>
    <phoneticPr fontId="1" type="noConversion"/>
  </si>
  <si>
    <t>巫妖</t>
    <phoneticPr fontId="1" type="noConversion"/>
  </si>
  <si>
    <t>命匣</t>
    <phoneticPr fontId="1" type="noConversion"/>
  </si>
  <si>
    <t>怪物</t>
    <phoneticPr fontId="1" type="noConversion"/>
  </si>
  <si>
    <t>不死</t>
    <phoneticPr fontId="1" type="noConversion"/>
  </si>
  <si>
    <t>type</t>
    <phoneticPr fontId="1" type="noConversion"/>
  </si>
  <si>
    <t>不死，构造体</t>
    <phoneticPr fontId="1" type="noConversion"/>
  </si>
  <si>
    <t>冠军</t>
    <phoneticPr fontId="1" type="noConversion"/>
  </si>
  <si>
    <t>人类</t>
    <phoneticPr fontId="1" type="noConversion"/>
  </si>
  <si>
    <t>收藏家</t>
    <phoneticPr fontId="1" type="noConversion"/>
  </si>
  <si>
    <t>时空吞噬者</t>
    <phoneticPr fontId="1" type="noConversion"/>
  </si>
  <si>
    <t>恶魔</t>
    <phoneticPr fontId="1" type="noConversion"/>
  </si>
  <si>
    <t>野兽</t>
    <phoneticPr fontId="1" type="noConversion"/>
  </si>
  <si>
    <t>红王</t>
    <phoneticPr fontId="1" type="noConversion"/>
  </si>
  <si>
    <t>蓝王</t>
    <phoneticPr fontId="1" type="noConversion"/>
  </si>
  <si>
    <t>typeEn</t>
    <phoneticPr fontId="1" type="noConversion"/>
  </si>
  <si>
    <t>cardBackFile</t>
    <phoneticPr fontId="1" type="noConversion"/>
  </si>
  <si>
    <t>落穴：松动</t>
    <phoneticPr fontId="1" type="noConversion"/>
  </si>
  <si>
    <t>iconFile</t>
    <phoneticPr fontId="1" type="noConversion"/>
  </si>
  <si>
    <t>沙虫</t>
    <phoneticPr fontId="1" type="noConversion"/>
  </si>
  <si>
    <t>昆虫</t>
    <phoneticPr fontId="1" type="noConversion"/>
  </si>
  <si>
    <t>持续：同区域中，位于本牌前方的怪物牌点数变为1。</t>
    <phoneticPr fontId="1" type="noConversion"/>
  </si>
  <si>
    <t>开战时：检查本牌前方的所有行，如果行中怪物牌数量大于本牌点数，那一行所有怪物牌送墓。如果有怪物牌因此被送墓，则在检查完之后将本牌也送墓。</t>
    <phoneticPr fontId="1" type="noConversion"/>
  </si>
  <si>
    <t>交锋前：同一行中怪物牌数量大于本牌点数时，同一行中所有怪物牌送墓，然后本牌送墓。</t>
    <phoneticPr fontId="1" type="noConversion"/>
  </si>
  <si>
    <t>交锋前：同一行中所有怪物牌点数减2。</t>
    <phoneticPr fontId="1" type="noConversion"/>
  </si>
  <si>
    <t>持续：同区域中，位于本牌前方的怪物牌点数不大于本牌时，将其横置。</t>
    <phoneticPr fontId="1" type="noConversion"/>
  </si>
  <si>
    <t>同区域中，位于本牌前方的怪物牌发动效果后：那张怪物牌送墓，然后本牌点数减1。</t>
    <phoneticPr fontId="1" type="noConversion"/>
  </si>
  <si>
    <t>同区域中，有牌移入本牌前方任意一行后：将那一行所有牌送墓，然后本牌送墓。</t>
    <phoneticPr fontId="1" type="noConversion"/>
  </si>
  <si>
    <t>持续：同一列中，本牌后方每有1张牌，本牌点数加1。&lt;br&gt;
离场时：将本牌放回额外牌堆。</t>
    <phoneticPr fontId="1" type="noConversion"/>
  </si>
  <si>
    <t>进入墓地时：移除当前挑战牌。</t>
    <phoneticPr fontId="1" type="noConversion"/>
  </si>
  <si>
    <t>从场上进入墓地时：同区域中位于本牌后方的所有点数不大于本牌的牌送墓。</t>
    <phoneticPr fontId="1" type="noConversion"/>
  </si>
  <si>
    <t>从场上进入墓地时：同区域中，与本牌在同一行的所有点数不大于本牌的牌送墓。</t>
    <phoneticPr fontId="1" type="noConversion"/>
  </si>
  <si>
    <t>持续：弃牌堆每有1张牌，本牌点数加1。&lt;br&gt;
进入墓地时：移除当前挑战牌。</t>
    <phoneticPr fontId="1" type="noConversion"/>
  </si>
  <si>
    <t>交锋前：将同一行中所有怪物牌依次放到房间区任意非空列的任意位置，然后破坏本牌。</t>
  </si>
  <si>
    <t>从场上进入墓地时：将本牌向后移动一行。&lt;br&gt;
进入弃牌堆时：将本牌放在房间区任意非空列最前方。</t>
  </si>
  <si>
    <t>交锋前：如果本牌在敌人侧，房间区每有1张牌，本牌的点数加1。&lt;br&gt;
进入墓地时：将本牌放回额外牌堆，从额外牌堆将1张《蓝王》牌洗入主牌堆，然后将弃牌堆顶1张牌放到房间区任意列最前方。</t>
    <phoneticPr fontId="1" type="noConversion"/>
  </si>
  <si>
    <t>交锋前：如果本牌在玩家侧，玩家每有1张手牌，本牌的点数加1。&lt;br&gt;
进入墓地时：将本牌放回额外牌堆，从额外牌堆将1张《红王》牌洗入主牌堆，然后抽1张牌。</t>
    <phoneticPr fontId="1" type="noConversion"/>
  </si>
  <si>
    <t>封印手指</t>
    <phoneticPr fontId="1" type="noConversion"/>
  </si>
  <si>
    <t>持续：不能被重抽。&lt;br&gt;
离场时：回到玩家手牌。&lt;br&gt;
从手牌发动：如果手牌中有合计5张《封印手指》牌，移除当前挑战牌。</t>
    <phoneticPr fontId="1" type="noConversion"/>
  </si>
  <si>
    <t>持续：玩家不能使用道具牌。&lt;br&gt;
进入墓地时：移除当前挑战牌。</t>
    <phoneticPr fontId="1" type="noConversion"/>
  </si>
  <si>
    <t>交锋前：同一行中其他牌点数减1。&lt;br&gt;
压制时：本牌点数减1，然后后退一行。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</si>
</sst>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3" x14ac:knownFonts="1">
    <font>
      <sz val="11"/>
      <color theme="1"/>
      <name val="等线"/>
      <family val="2"/>
      <scheme val="minor"/>
    </font>
    <font>
      <sz val="9"/>
      <name val="等线"/>
      <family val="3"/>
      <charset val="134"/>
      <scheme val="minor"/>
    </font>
    <font>
      <sz val="11"/>
      <color theme="1"/>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5">
    <xf numFmtId="0" fontId="0" fillId="0" borderId="0" xfId="0"/>
    <xf numFmtId="176" fontId="0" fillId="0" borderId="0" xfId="0" applyNumberFormat="1"/>
    <xf numFmtId="0" fontId="0" fillId="0" borderId="0" xfId="0" applyAlignment="1">
      <alignment wrapText="1"/>
    </xf>
    <xf numFmtId="0" fontId="2" fillId="0" borderId="0" xfId="1"/>
    <xf numFmtId="0" fontId="2" fillId="0" borderId="0" xfId="1" applyAlignment="1">
      <alignment wrapText="1"/>
    </xf>
  </cellXfs>
  <cellStyles count="2">
    <cellStyle name="常规" xfId="0" builtinId="0"/>
    <cellStyle name="常规 2" xfId="1" xr:uid="{947DACC4-F6E1-41C2-B7FF-85CF70BA83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
  <sheetViews>
    <sheetView tabSelected="1" workbookViewId="0">
      <selection activeCell="F17" sqref="F17"/>
    </sheetView>
  </sheetViews>
  <sheetFormatPr defaultRowHeight="14.25" x14ac:dyDescent="0.2"/>
  <cols>
    <col min="1" max="1" width="14.125" customWidth="1"/>
    <col min="6" max="6" width="96.625" customWidth="1"/>
    <col min="7" max="7" width="9" customWidth="1"/>
  </cols>
  <sheetData>
    <row r="1" spans="1:11" x14ac:dyDescent="0.2">
      <c r="A1" t="s">
        <v>0</v>
      </c>
      <c r="B1" t="s">
        <v>22</v>
      </c>
      <c r="C1" t="s">
        <v>16</v>
      </c>
      <c r="D1" s="1" t="s">
        <v>1</v>
      </c>
      <c r="E1" t="s">
        <v>2</v>
      </c>
      <c r="F1" t="s">
        <v>3</v>
      </c>
      <c r="G1" t="s">
        <v>4</v>
      </c>
      <c r="H1" t="s">
        <v>32</v>
      </c>
      <c r="I1" t="s">
        <v>5</v>
      </c>
      <c r="J1" t="s">
        <v>33</v>
      </c>
      <c r="K1" t="s">
        <v>35</v>
      </c>
    </row>
    <row r="2" spans="1:11" x14ac:dyDescent="0.2">
      <c r="A2" t="s">
        <v>6</v>
      </c>
      <c r="B2" t="s">
        <v>17</v>
      </c>
      <c r="D2" s="1">
        <v>1</v>
      </c>
      <c r="E2" s="2">
        <v>3</v>
      </c>
      <c r="F2" t="s">
        <v>38</v>
      </c>
      <c r="G2" s="3" t="str">
        <f>IF(EXACT(B2, "改造陷阱"), "Transmuted trap", "Monster")</f>
        <v>Transmuted trap</v>
      </c>
      <c r="H2" s="3"/>
      <c r="I2" s="3"/>
      <c r="J2" t="str">
        <f>IF(EXACT(B2, "改造陷阱"), "trap.png", "monster.png")</f>
        <v>trap.png</v>
      </c>
      <c r="K2" t="str">
        <f>IF(EXACT(B2, "改造陷阱"), "trap_inverted.png", "monster_inverted.png")</f>
        <v>trap_inverted.png</v>
      </c>
    </row>
    <row r="3" spans="1:11" x14ac:dyDescent="0.2">
      <c r="A3" t="s">
        <v>7</v>
      </c>
      <c r="B3" t="s">
        <v>17</v>
      </c>
      <c r="D3" s="1">
        <v>2</v>
      </c>
      <c r="E3" s="2">
        <v>3</v>
      </c>
      <c r="F3" t="s">
        <v>39</v>
      </c>
      <c r="G3" s="3" t="str">
        <f t="shared" ref="G3:G20" si="0">IF(EXACT(B3, "改造陷阱"), "Transmuted trap", "Monster")</f>
        <v>Transmuted trap</v>
      </c>
      <c r="H3" s="3"/>
      <c r="I3" s="3"/>
      <c r="J3" t="str">
        <f t="shared" ref="J3:J20" si="1">IF(EXACT(B3, "改造陷阱"), "trap.png", "monster.png")</f>
        <v>trap.png</v>
      </c>
      <c r="K3" t="str">
        <f t="shared" ref="K3:K20" si="2">IF(EXACT(B3, "改造陷阱"), "trap_inverted.png", "monster_inverted.png")</f>
        <v>trap_inverted.png</v>
      </c>
    </row>
    <row r="4" spans="1:11" x14ac:dyDescent="0.2">
      <c r="A4" t="s">
        <v>34</v>
      </c>
      <c r="B4" t="s">
        <v>17</v>
      </c>
      <c r="D4" s="1">
        <v>1</v>
      </c>
      <c r="E4" s="2">
        <v>3</v>
      </c>
      <c r="F4" t="s">
        <v>40</v>
      </c>
      <c r="G4" s="3" t="str">
        <f t="shared" si="0"/>
        <v>Transmuted trap</v>
      </c>
      <c r="H4" s="3"/>
      <c r="I4" s="3"/>
      <c r="J4" t="str">
        <f t="shared" si="1"/>
        <v>trap.png</v>
      </c>
      <c r="K4" t="str">
        <f t="shared" si="2"/>
        <v>trap_inverted.png</v>
      </c>
    </row>
    <row r="5" spans="1:11" x14ac:dyDescent="0.2">
      <c r="A5" t="s">
        <v>8</v>
      </c>
      <c r="B5" t="s">
        <v>17</v>
      </c>
      <c r="D5" s="1">
        <v>2</v>
      </c>
      <c r="E5" s="2">
        <v>3</v>
      </c>
      <c r="F5" t="s">
        <v>41</v>
      </c>
      <c r="G5" s="3" t="str">
        <f t="shared" si="0"/>
        <v>Transmuted trap</v>
      </c>
      <c r="H5" s="3"/>
      <c r="I5" s="3"/>
      <c r="J5" t="str">
        <f t="shared" si="1"/>
        <v>trap.png</v>
      </c>
      <c r="K5" t="str">
        <f t="shared" si="2"/>
        <v>trap_inverted.png</v>
      </c>
    </row>
    <row r="6" spans="1:11" x14ac:dyDescent="0.2">
      <c r="A6" t="s">
        <v>9</v>
      </c>
      <c r="B6" t="s">
        <v>17</v>
      </c>
      <c r="D6" s="1">
        <v>2</v>
      </c>
      <c r="E6" s="2">
        <v>3</v>
      </c>
      <c r="F6" t="s">
        <v>42</v>
      </c>
      <c r="G6" s="3" t="str">
        <f t="shared" si="0"/>
        <v>Transmuted trap</v>
      </c>
      <c r="H6" s="3"/>
      <c r="I6" s="3"/>
      <c r="J6" t="str">
        <f t="shared" si="1"/>
        <v>trap.png</v>
      </c>
      <c r="K6" t="str">
        <f t="shared" si="2"/>
        <v>trap_inverted.png</v>
      </c>
    </row>
    <row r="7" spans="1:11" x14ac:dyDescent="0.2">
      <c r="A7" t="s">
        <v>10</v>
      </c>
      <c r="B7" t="s">
        <v>17</v>
      </c>
      <c r="D7" s="1">
        <v>1</v>
      </c>
      <c r="E7" s="2">
        <v>3</v>
      </c>
      <c r="F7" t="s">
        <v>43</v>
      </c>
      <c r="G7" s="3" t="str">
        <f t="shared" si="0"/>
        <v>Transmuted trap</v>
      </c>
      <c r="H7" s="3"/>
      <c r="I7" s="3"/>
      <c r="J7" t="str">
        <f t="shared" si="1"/>
        <v>trap.png</v>
      </c>
      <c r="K7" t="str">
        <f t="shared" si="2"/>
        <v>trap_inverted.png</v>
      </c>
    </row>
    <row r="8" spans="1:11" x14ac:dyDescent="0.2">
      <c r="A8" t="s">
        <v>11</v>
      </c>
      <c r="B8" t="s">
        <v>17</v>
      </c>
      <c r="D8" s="1">
        <v>2</v>
      </c>
      <c r="E8" s="2">
        <v>3</v>
      </c>
      <c r="F8" t="s">
        <v>47</v>
      </c>
      <c r="G8" s="3" t="str">
        <f t="shared" si="0"/>
        <v>Transmuted trap</v>
      </c>
      <c r="H8" s="3"/>
      <c r="I8" s="3"/>
      <c r="J8" t="str">
        <f t="shared" si="1"/>
        <v>trap.png</v>
      </c>
      <c r="K8" t="str">
        <f t="shared" si="2"/>
        <v>trap_inverted.png</v>
      </c>
    </row>
    <row r="9" spans="1:11" x14ac:dyDescent="0.2">
      <c r="A9" t="s">
        <v>12</v>
      </c>
      <c r="B9" t="s">
        <v>17</v>
      </c>
      <c r="D9" s="1">
        <v>1</v>
      </c>
      <c r="E9" s="2">
        <v>3</v>
      </c>
      <c r="F9" t="s">
        <v>50</v>
      </c>
      <c r="G9" s="3" t="str">
        <f t="shared" si="0"/>
        <v>Transmuted trap</v>
      </c>
      <c r="H9" s="3"/>
      <c r="I9" s="3" t="s">
        <v>13</v>
      </c>
      <c r="J9" t="str">
        <f t="shared" si="1"/>
        <v>trap.png</v>
      </c>
      <c r="K9" t="str">
        <f t="shared" si="2"/>
        <v>trap_inverted.png</v>
      </c>
    </row>
    <row r="10" spans="1:11" x14ac:dyDescent="0.2">
      <c r="A10" t="s">
        <v>14</v>
      </c>
      <c r="B10" t="s">
        <v>17</v>
      </c>
      <c r="D10" s="1">
        <v>2</v>
      </c>
      <c r="E10" s="2">
        <v>3</v>
      </c>
      <c r="F10" t="s">
        <v>48</v>
      </c>
      <c r="G10" s="3" t="str">
        <f t="shared" si="0"/>
        <v>Transmuted trap</v>
      </c>
      <c r="H10" s="3"/>
      <c r="I10" s="3"/>
      <c r="J10" t="str">
        <f t="shared" si="1"/>
        <v>trap.png</v>
      </c>
      <c r="K10" t="str">
        <f t="shared" si="2"/>
        <v>trap_inverted.png</v>
      </c>
    </row>
    <row r="11" spans="1:11" x14ac:dyDescent="0.2">
      <c r="A11" t="s">
        <v>15</v>
      </c>
      <c r="B11" t="s">
        <v>17</v>
      </c>
      <c r="D11" s="1">
        <v>2</v>
      </c>
      <c r="E11" s="2">
        <v>3</v>
      </c>
      <c r="F11" s="2" t="s">
        <v>44</v>
      </c>
      <c r="G11" s="3" t="str">
        <f t="shared" si="0"/>
        <v>Transmuted trap</v>
      </c>
      <c r="H11" s="3"/>
      <c r="I11" s="4"/>
      <c r="J11" t="str">
        <f t="shared" si="1"/>
        <v>trap.png</v>
      </c>
      <c r="K11" t="str">
        <f t="shared" si="2"/>
        <v>trap_inverted.png</v>
      </c>
    </row>
    <row r="12" spans="1:11" ht="28.5" x14ac:dyDescent="0.2">
      <c r="A12" t="s">
        <v>18</v>
      </c>
      <c r="B12" t="s">
        <v>20</v>
      </c>
      <c r="C12" t="s">
        <v>21</v>
      </c>
      <c r="D12">
        <v>1</v>
      </c>
      <c r="E12" s="2">
        <v>1</v>
      </c>
      <c r="F12" s="2" t="s">
        <v>45</v>
      </c>
      <c r="G12" s="3" t="str">
        <f t="shared" si="0"/>
        <v>Monster</v>
      </c>
      <c r="J12" t="str">
        <f t="shared" si="1"/>
        <v>monster.png</v>
      </c>
      <c r="K12" t="str">
        <f t="shared" si="2"/>
        <v>monster_inverted.png</v>
      </c>
    </row>
    <row r="13" spans="1:11" x14ac:dyDescent="0.2">
      <c r="A13" t="s">
        <v>19</v>
      </c>
      <c r="B13" t="s">
        <v>20</v>
      </c>
      <c r="C13" t="s">
        <v>23</v>
      </c>
      <c r="D13">
        <v>2</v>
      </c>
      <c r="E13" s="2">
        <v>1</v>
      </c>
      <c r="F13" s="2" t="s">
        <v>46</v>
      </c>
      <c r="G13" s="3" t="str">
        <f t="shared" si="0"/>
        <v>Monster</v>
      </c>
      <c r="J13" t="str">
        <f t="shared" si="1"/>
        <v>monster.png</v>
      </c>
      <c r="K13" t="str">
        <f t="shared" si="2"/>
        <v>monster_inverted.png</v>
      </c>
    </row>
    <row r="14" spans="1:11" ht="28.5" x14ac:dyDescent="0.2">
      <c r="A14" t="s">
        <v>24</v>
      </c>
      <c r="B14" t="s">
        <v>20</v>
      </c>
      <c r="C14" t="s">
        <v>25</v>
      </c>
      <c r="D14">
        <v>3</v>
      </c>
      <c r="E14" s="2">
        <v>1</v>
      </c>
      <c r="F14" s="2" t="s">
        <v>51</v>
      </c>
      <c r="G14" s="3" t="str">
        <f t="shared" si="0"/>
        <v>Monster</v>
      </c>
      <c r="J14" t="str">
        <f t="shared" si="1"/>
        <v>monster.png</v>
      </c>
      <c r="K14" t="str">
        <f t="shared" si="2"/>
        <v>monster_inverted.png</v>
      </c>
    </row>
    <row r="15" spans="1:11" ht="28.5" x14ac:dyDescent="0.2">
      <c r="A15" t="s">
        <v>26</v>
      </c>
      <c r="B15" t="s">
        <v>20</v>
      </c>
      <c r="C15" t="s">
        <v>28</v>
      </c>
      <c r="D15">
        <v>3</v>
      </c>
      <c r="E15" s="2">
        <v>1</v>
      </c>
      <c r="F15" s="2" t="s">
        <v>56</v>
      </c>
      <c r="G15" s="3" t="str">
        <f t="shared" si="0"/>
        <v>Monster</v>
      </c>
      <c r="J15" t="str">
        <f t="shared" si="1"/>
        <v>monster.png</v>
      </c>
      <c r="K15" t="str">
        <f t="shared" si="2"/>
        <v>monster_inverted.png</v>
      </c>
    </row>
    <row r="16" spans="1:11" ht="28.5" x14ac:dyDescent="0.2">
      <c r="A16" t="s">
        <v>36</v>
      </c>
      <c r="B16" t="s">
        <v>20</v>
      </c>
      <c r="C16" t="s">
        <v>37</v>
      </c>
      <c r="D16">
        <v>3</v>
      </c>
      <c r="E16" s="2">
        <v>1</v>
      </c>
      <c r="F16" s="2" t="s">
        <v>57</v>
      </c>
      <c r="G16" s="3" t="str">
        <f t="shared" si="0"/>
        <v>Monster</v>
      </c>
      <c r="J16" t="str">
        <f t="shared" si="1"/>
        <v>monster.png</v>
      </c>
      <c r="K16" t="str">
        <f t="shared" si="2"/>
        <v>monster_inverted.png</v>
      </c>
    </row>
    <row r="17" spans="1:11" ht="28.5" x14ac:dyDescent="0.2">
      <c r="A17" t="s">
        <v>27</v>
      </c>
      <c r="B17" t="s">
        <v>20</v>
      </c>
      <c r="C17" t="s">
        <v>29</v>
      </c>
      <c r="D17">
        <v>2</v>
      </c>
      <c r="E17" s="2">
        <v>1</v>
      </c>
      <c r="F17" s="2" t="s">
        <v>49</v>
      </c>
      <c r="G17" s="3" t="str">
        <f t="shared" si="0"/>
        <v>Monster</v>
      </c>
      <c r="J17" t="str">
        <f t="shared" si="1"/>
        <v>monster.png</v>
      </c>
      <c r="K17" t="str">
        <f t="shared" si="2"/>
        <v>monster_inverted.png</v>
      </c>
    </row>
    <row r="18" spans="1:11" ht="42.75" x14ac:dyDescent="0.2">
      <c r="A18" t="s">
        <v>54</v>
      </c>
      <c r="B18" t="s">
        <v>20</v>
      </c>
      <c r="C18" t="s">
        <v>28</v>
      </c>
      <c r="D18">
        <v>1</v>
      </c>
      <c r="E18" s="2">
        <v>5</v>
      </c>
      <c r="F18" s="2" t="s">
        <v>55</v>
      </c>
      <c r="G18" s="3" t="str">
        <f t="shared" si="0"/>
        <v>Monster</v>
      </c>
      <c r="J18" t="str">
        <f t="shared" si="1"/>
        <v>monster.png</v>
      </c>
      <c r="K18" t="str">
        <f t="shared" si="2"/>
        <v>monster_inverted.png</v>
      </c>
    </row>
    <row r="19" spans="1:11" ht="42.75" x14ac:dyDescent="0.2">
      <c r="A19" t="s">
        <v>30</v>
      </c>
      <c r="B19" t="s">
        <v>20</v>
      </c>
      <c r="C19" t="s">
        <v>25</v>
      </c>
      <c r="D19">
        <v>2</v>
      </c>
      <c r="E19" s="2">
        <v>1</v>
      </c>
      <c r="F19" s="2" t="s">
        <v>52</v>
      </c>
      <c r="G19" s="3" t="str">
        <f t="shared" si="0"/>
        <v>Monster</v>
      </c>
      <c r="J19" t="str">
        <f t="shared" si="1"/>
        <v>monster.png</v>
      </c>
      <c r="K19" t="str">
        <f t="shared" si="2"/>
        <v>monster_inverted.png</v>
      </c>
    </row>
    <row r="20" spans="1:11" ht="28.5" x14ac:dyDescent="0.2">
      <c r="A20" t="s">
        <v>31</v>
      </c>
      <c r="B20" t="s">
        <v>20</v>
      </c>
      <c r="C20" t="s">
        <v>25</v>
      </c>
      <c r="D20">
        <v>2</v>
      </c>
      <c r="E20" s="2">
        <v>1</v>
      </c>
      <c r="F20" s="2" t="s">
        <v>53</v>
      </c>
      <c r="G20" s="3" t="str">
        <f t="shared" si="0"/>
        <v>Monster</v>
      </c>
      <c r="J20" t="str">
        <f t="shared" si="1"/>
        <v>monster.png</v>
      </c>
      <c r="K20" t="str">
        <f t="shared" si="2"/>
        <v>monster_inverted.png</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管文瀚</dc:creator>
  <cp:lastModifiedBy>文瀚 管</cp:lastModifiedBy>
  <dcterms:created xsi:type="dcterms:W3CDTF">2015-06-05T18:19:34Z</dcterms:created>
  <dcterms:modified xsi:type="dcterms:W3CDTF">2025-08-27T23:58:04Z</dcterms:modified>
</cp:coreProperties>
</file>
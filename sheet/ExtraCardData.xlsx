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D:\Workspace\nanDeck\DungeonCrawlDeckMaster\sheet\"/>
    </mc:Choice>
  </mc:AlternateContent>
  <xr:revisionPtr revIDLastSave="0" documentId="13_ncr:1_{668EA07A-6A5D-4E41-A0A0-CA86D9FA3D1F}" xr6:coauthVersionLast="47" xr6:coauthVersionMax="47" xr10:uidLastSave="{00000000-0000-0000-0000-000000000000}"/>
  <bookViews>
    <workbookView xWindow="4155" yWindow="4155" windowWidth="21600" windowHeight="11295"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2" i="1" l="1"/>
  <c r="J22" i="1"/>
  <c r="K22" i="1"/>
  <c r="G14" i="1"/>
  <c r="J14" i="1"/>
  <c r="K14" i="1"/>
  <c r="G6" i="1"/>
  <c r="J6" i="1"/>
  <c r="K6" i="1"/>
  <c r="G13" i="1"/>
  <c r="J13" i="1"/>
  <c r="K13" i="1"/>
  <c r="G27" i="1"/>
  <c r="G28" i="1"/>
  <c r="G2" i="1"/>
  <c r="G3" i="1"/>
  <c r="G4" i="1"/>
  <c r="G5" i="1"/>
  <c r="G7" i="1"/>
  <c r="G8" i="1"/>
  <c r="G9" i="1"/>
  <c r="G10" i="1"/>
  <c r="G11" i="1"/>
  <c r="G12" i="1"/>
  <c r="G17" i="1"/>
  <c r="G18" i="1"/>
  <c r="G19" i="1"/>
  <c r="G20" i="1"/>
  <c r="G21" i="1"/>
  <c r="G23" i="1"/>
  <c r="G24" i="1"/>
  <c r="G25" i="1"/>
  <c r="G26" i="1"/>
  <c r="J26" i="1"/>
  <c r="K26" i="1"/>
  <c r="J25" i="1"/>
  <c r="K25" i="1"/>
  <c r="J24" i="1"/>
  <c r="K24" i="1"/>
  <c r="K3" i="1"/>
  <c r="K4" i="1"/>
  <c r="K5" i="1"/>
  <c r="K7" i="1"/>
  <c r="K8" i="1"/>
  <c r="K9" i="1"/>
  <c r="K10" i="1"/>
  <c r="K11" i="1"/>
  <c r="K12" i="1"/>
  <c r="K17" i="1"/>
  <c r="K18" i="1"/>
  <c r="K19" i="1"/>
  <c r="K20" i="1"/>
  <c r="K21" i="1"/>
  <c r="K23" i="1"/>
  <c r="K2" i="1"/>
  <c r="J3" i="1"/>
  <c r="J4" i="1"/>
  <c r="J5" i="1"/>
  <c r="J7" i="1"/>
  <c r="J8" i="1"/>
  <c r="J9" i="1"/>
  <c r="J10" i="1"/>
  <c r="J11" i="1"/>
  <c r="J12" i="1"/>
  <c r="J17" i="1"/>
  <c r="J18" i="1"/>
  <c r="J19" i="1"/>
  <c r="J20" i="1"/>
  <c r="J21" i="1"/>
  <c r="J23" i="1"/>
  <c r="J2" i="1"/>
</calcChain>
</file>

<file path=xl/sharedStrings.xml><?xml version="1.0" encoding="utf-8"?>
<sst xmlns="http://schemas.openxmlformats.org/spreadsheetml/2006/main" count="104" uniqueCount="76">
  <si>
    <t>cardName</t>
    <phoneticPr fontId="1" type="noConversion"/>
  </si>
  <si>
    <t>rank</t>
    <phoneticPr fontId="1" type="noConversion"/>
  </si>
  <si>
    <t>maxCount</t>
    <phoneticPr fontId="1" type="noConversion"/>
  </si>
  <si>
    <t>effect</t>
    <phoneticPr fontId="1" type="noConversion"/>
  </si>
  <si>
    <t>effectEn</t>
    <phoneticPr fontId="1" type="noConversion"/>
  </si>
  <si>
    <t>传送阵：短距</t>
    <phoneticPr fontId="1" type="noConversion"/>
  </si>
  <si>
    <t>① Triggered (Before battle round): Check if there is any non-empty column in Exploration Zone and there is any { Monster } card in the same row of this card. If so, cancel the battle in this row. Then send this card to Graveyard and insert other cards in that row into any position in Exploration Zone.</t>
    <phoneticPr fontId="1" type="noConversion"/>
  </si>
  <si>
    <t>tags</t>
    <phoneticPr fontId="1" type="noConversion"/>
  </si>
  <si>
    <t>改造陷阱</t>
    <phoneticPr fontId="1" type="noConversion"/>
  </si>
  <si>
    <t>巫妖</t>
    <phoneticPr fontId="1" type="noConversion"/>
  </si>
  <si>
    <t>命匣</t>
    <phoneticPr fontId="1" type="noConversion"/>
  </si>
  <si>
    <t>怪物</t>
    <phoneticPr fontId="1" type="noConversion"/>
  </si>
  <si>
    <t>不死</t>
    <phoneticPr fontId="1" type="noConversion"/>
  </si>
  <si>
    <t>type</t>
    <phoneticPr fontId="1" type="noConversion"/>
  </si>
  <si>
    <t>冠军</t>
    <phoneticPr fontId="1" type="noConversion"/>
  </si>
  <si>
    <t>人类</t>
    <phoneticPr fontId="1" type="noConversion"/>
  </si>
  <si>
    <t>收藏家</t>
    <phoneticPr fontId="1" type="noConversion"/>
  </si>
  <si>
    <t>恶魔</t>
    <phoneticPr fontId="1" type="noConversion"/>
  </si>
  <si>
    <t>typeEn</t>
    <phoneticPr fontId="1" type="noConversion"/>
  </si>
  <si>
    <t>cardBackFile</t>
    <phoneticPr fontId="1" type="noConversion"/>
  </si>
  <si>
    <t>iconFile</t>
    <phoneticPr fontId="1" type="noConversion"/>
  </si>
  <si>
    <t>沙虫</t>
    <phoneticPr fontId="1" type="noConversion"/>
  </si>
  <si>
    <t>昆虫</t>
    <phoneticPr fontId="1" type="noConversion"/>
  </si>
  <si>
    <t>封印手指</t>
    <phoneticPr fontId="1" type="noConversion"/>
  </si>
  <si>
    <t>老虎机护符</t>
    <phoneticPr fontId="1" type="noConversion"/>
  </si>
  <si>
    <t>道具</t>
    <phoneticPr fontId="1" type="noConversion"/>
  </si>
  <si>
    <t>护符</t>
    <phoneticPr fontId="1" type="noConversion"/>
  </si>
  <si>
    <t>开战时可以发动：如果参与战斗的所有牌名称相同，则将那些牌全部送墓。</t>
    <phoneticPr fontId="1" type="noConversion"/>
  </si>
  <si>
    <t>叛徒护符</t>
    <phoneticPr fontId="1" type="noConversion"/>
  </si>
  <si>
    <t>将1张手牌放置在房间区任意槽位。</t>
    <phoneticPr fontId="1" type="noConversion"/>
  </si>
  <si>
    <t>沙漏护符</t>
    <phoneticPr fontId="1" type="noConversion"/>
  </si>
  <si>
    <t>开战时可以发动：本次战斗不消耗时间。&lt;br&gt;
被动：弃牌堆的牌不能被其他牌的效果移出弃牌堆。</t>
    <phoneticPr fontId="1" type="noConversion"/>
  </si>
  <si>
    <t>Blueprint</t>
    <phoneticPr fontId="1" type="noConversion"/>
  </si>
  <si>
    <t>翻开主牌堆前3张陷阱牌，然后选1张，从额外牌堆选其任意改造版本将其替换，这之后，将翻开的牌洗回主牌堆。</t>
    <phoneticPr fontId="1" type="noConversion"/>
  </si>
  <si>
    <t>蓝图</t>
    <phoneticPr fontId="1" type="noConversion"/>
  </si>
  <si>
    <t>Dungeonpedia</t>
    <phoneticPr fontId="1" type="noConversion"/>
  </si>
  <si>
    <t>从主牌堆和备牌堆中各翻3张牌，然后从备牌堆翻出的牌中选1张牌替换主牌堆翻出的3张牌中的任意1张，这之后，将这些牌洗回各自的牌堆。</t>
    <phoneticPr fontId="1" type="noConversion"/>
  </si>
  <si>
    <t>地下城百科</t>
    <phoneticPr fontId="1" type="noConversion"/>
  </si>
  <si>
    <t>战利品</t>
    <phoneticPr fontId="1" type="noConversion"/>
  </si>
  <si>
    <t>地雷：高爆</t>
    <phoneticPr fontId="1" type="noConversion"/>
  </si>
  <si>
    <t>地雷：灵敏</t>
    <phoneticPr fontId="1" type="noConversion"/>
  </si>
  <si>
    <t>有牌移入本牌相邻槽位中时：使那个槽位中所有牌点数减1，然后消灭本牌。</t>
    <phoneticPr fontId="1" type="noConversion"/>
  </si>
  <si>
    <t>有牌移入本牌所在槽位中时：使同槽位及相邻槽位所有牌点数减1，然后消灭本牌。</t>
    <phoneticPr fontId="1" type="noConversion"/>
  </si>
  <si>
    <t>开战时：战场中所有怪物牌点数变为1。</t>
    <phoneticPr fontId="1" type="noConversion"/>
  </si>
  <si>
    <t>流沙：大范围</t>
    <phoneticPr fontId="1" type="noConversion"/>
  </si>
  <si>
    <t>落穴：巨型</t>
    <phoneticPr fontId="1" type="noConversion"/>
  </si>
  <si>
    <t>开战时：如果本牌所在槽位和对位槽位的怪物牌合计数量不小于本牌点数，则消灭战场所有怪物牌，然后消灭本牌。</t>
    <phoneticPr fontId="1" type="noConversion"/>
  </si>
  <si>
    <t>交锋前：如果本牌所在槽位和对位槽位有怪物牌，则将那些怪物牌全部消灭，然后消灭本牌。</t>
    <phoneticPr fontId="1" type="noConversion"/>
  </si>
  <si>
    <t>落穴：灵敏</t>
    <phoneticPr fontId="1" type="noConversion"/>
  </si>
  <si>
    <t>尖刺：交错</t>
    <phoneticPr fontId="1" type="noConversion"/>
  </si>
  <si>
    <t>回合结束时：横置本牌，然后选1个相邻槽位，其中所有牌点数减1。&lt;br&gt;
复位时：同槽位所有牌点数减1。</t>
    <phoneticPr fontId="1" type="noConversion"/>
  </si>
  <si>
    <t>尖刺：简易</t>
    <phoneticPr fontId="1" type="noConversion"/>
  </si>
  <si>
    <t>交锋时：使本牌所在槽位和对位槽位的所有怪物牌点数减1，然后消灭本牌。</t>
    <phoneticPr fontId="1" type="noConversion"/>
  </si>
  <si>
    <t>冷气喷口：强力</t>
    <phoneticPr fontId="1" type="noConversion"/>
  </si>
  <si>
    <t>回合结束时：横置本牌所在槽位和所有相邻槽位中的所有怪物牌。</t>
    <phoneticPr fontId="1" type="noConversion"/>
  </si>
  <si>
    <t>吹箭：狙击</t>
    <phoneticPr fontId="1" type="noConversion"/>
  </si>
  <si>
    <t>同区域中，有牌发动效果后：消灭那张怪物牌，然后本牌点数减1。</t>
    <phoneticPr fontId="1" type="noConversion"/>
  </si>
  <si>
    <t>滚石：沉重</t>
    <phoneticPr fontId="1" type="noConversion"/>
  </si>
  <si>
    <t>死亡时：将本牌移动到相邻槽位中而不是送墓，然后使本牌和那个槽位中所有牌点数减2，该效果可重复至本牌点数为0为止。</t>
    <phoneticPr fontId="1" type="noConversion"/>
  </si>
  <si>
    <t>交锋时：如果本牌所在槽位和对位槽位有怪物牌，则将那些怪物牌依次放在其所在区域的任意槽位，然后消灭本牌。</t>
    <phoneticPr fontId="1" type="noConversion"/>
  </si>
  <si>
    <t>爆桶：不稳定</t>
    <phoneticPr fontId="1" type="noConversion"/>
  </si>
  <si>
    <t>被移动时：目标槽位和起始槽位的所有牌点数减1，然后消灭本牌。</t>
    <phoneticPr fontId="1" type="noConversion"/>
  </si>
  <si>
    <t>石柱：碎裂</t>
    <phoneticPr fontId="1" type="noConversion"/>
  </si>
  <si>
    <t>死亡时：选与本牌在同一行或同一列的其他牌，共计X张，X与本牌点数相同，然后使那些牌点数减1。</t>
    <phoneticPr fontId="1" type="noConversion"/>
  </si>
  <si>
    <t>延迟爆弹：追猎</t>
    <phoneticPr fontId="1" type="noConversion"/>
  </si>
  <si>
    <t>回合结束时：移动到1个相邻槽位，然后点数减1，本牌点数因此降至0时，消灭弃牌堆第1张怪物牌。</t>
    <phoneticPr fontId="1" type="noConversion"/>
  </si>
  <si>
    <t>交锋时：将对位槽位1张怪物牌移动到本牌所在槽位，然后将本牌送墓并跳过这一次交锋。</t>
    <phoneticPr fontId="1" type="noConversion"/>
  </si>
  <si>
    <t>暗门：反向</t>
    <phoneticPr fontId="1" type="noConversion"/>
  </si>
  <si>
    <t>离场时：如果场上有其他牌，则将本牌放在房间区任意槽位中。</t>
    <phoneticPr fontId="1" type="noConversion"/>
  </si>
  <si>
    <t>持续：相邻槽位每有1张“不死”牌，本牌点数加1。&lt;br&gt;
入场时：将墓地前2张“不死”牌分别放到本牌的两个不同的相邻槽位中。&lt;br&gt;
离场时：如果墓地中没有《命匣》，则将本牌放回额外牌堆。</t>
    <phoneticPr fontId="1" type="noConversion"/>
  </si>
  <si>
    <t>沙墙</t>
    <phoneticPr fontId="1" type="noConversion"/>
  </si>
  <si>
    <t>构造体</t>
    <phoneticPr fontId="1" type="noConversion"/>
  </si>
  <si>
    <t>持续：不能将《沙虫》以外的牌放在本牌所在槽位。&lt;br&gt;
离场时：将本牌放回额外牌堆。</t>
    <phoneticPr fontId="1" type="noConversion"/>
  </si>
  <si>
    <t>持续：玩家每有1张横置的道具牌，本牌点数加2。</t>
    <phoneticPr fontId="1" type="noConversion"/>
  </si>
  <si>
    <t>回合结束时：从额外牌堆将2张《沙墙》牌分别放在本牌所在槽位和对位，然后本牌移动一格，并使移动后本牌所在槽位及对位所有其他牌点数减1。</t>
    <phoneticPr fontId="1" type="noConversion"/>
  </si>
  <si>
    <t>开战时：回到玩家手牌。&lt;br&gt;
从手牌发动：将本牌放回主牌堆，从弃牌堆或墓地选1张《手指》牌加入手牌。&lt;br&gt;
回合结束时：场上有合计5张《封印手指》牌时，消灭所有《封印手指》牌。</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</si>
</sst>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_);[Red]\(0\)"/>
  </numFmts>
  <fonts count="3" x14ac:knownFonts="1">
    <font>
      <sz val="11"/>
      <color theme="1"/>
      <name val="等线"/>
      <family val="2"/>
      <scheme val="minor"/>
    </font>
    <font>
      <sz val="9"/>
      <name val="等线"/>
      <family val="3"/>
      <charset val="134"/>
      <scheme val="minor"/>
    </font>
    <font>
      <sz val="11"/>
      <color theme="1"/>
      <name val="等线"/>
      <family val="3"/>
      <charset val="134"/>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cellStyleXfs>
  <cellXfs count="5">
    <xf numFmtId="0" fontId="0" fillId="0" borderId="0" xfId="0"/>
    <xf numFmtId="176" fontId="0" fillId="0" borderId="0" xfId="0" applyNumberFormat="1"/>
    <xf numFmtId="0" fontId="0" fillId="0" borderId="0" xfId="0" applyAlignment="1">
      <alignment wrapText="1"/>
    </xf>
    <xf numFmtId="0" fontId="2" fillId="0" borderId="0" xfId="1"/>
    <xf numFmtId="0" fontId="2" fillId="0" borderId="0" xfId="1" applyAlignment="1">
      <alignment wrapText="1"/>
    </xf>
  </cellXfs>
  <cellStyles count="2">
    <cellStyle name="常规" xfId="0" builtinId="0"/>
    <cellStyle name="常规 2" xfId="1" xr:uid="{947DACC4-F6E1-41C2-B7FF-85CF70BA83E9}"/>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28"/>
  <sheetViews>
    <sheetView tabSelected="1" topLeftCell="A19" workbookViewId="0">
      <selection activeCell="F29" sqref="F29"/>
    </sheetView>
  </sheetViews>
  <sheetFormatPr defaultRowHeight="14.25" x14ac:dyDescent="0.2"/>
  <cols>
    <col min="1" max="1" width="14.125" customWidth="1"/>
    <col min="6" max="6" width="96.625" customWidth="1"/>
    <col min="7" max="7" width="9" customWidth="1"/>
  </cols>
  <sheetData>
    <row r="1" spans="1:11" x14ac:dyDescent="0.2">
      <c r="A1" t="s">
        <v>0</v>
      </c>
      <c r="B1" t="s">
        <v>13</v>
      </c>
      <c r="C1" t="s">
        <v>7</v>
      </c>
      <c r="D1" s="1" t="s">
        <v>1</v>
      </c>
      <c r="E1" t="s">
        <v>2</v>
      </c>
      <c r="F1" t="s">
        <v>3</v>
      </c>
      <c r="G1" t="s">
        <v>18</v>
      </c>
      <c r="H1" t="s">
        <v>18</v>
      </c>
      <c r="I1" t="s">
        <v>4</v>
      </c>
      <c r="J1" t="s">
        <v>19</v>
      </c>
      <c r="K1" t="s">
        <v>20</v>
      </c>
    </row>
    <row r="2" spans="1:11" x14ac:dyDescent="0.2">
      <c r="A2" t="s">
        <v>44</v>
      </c>
      <c r="B2" t="s">
        <v>8</v>
      </c>
      <c r="D2" s="1">
        <v>2</v>
      </c>
      <c r="E2" s="2">
        <v>3</v>
      </c>
      <c r="F2" t="s">
        <v>43</v>
      </c>
      <c r="G2" s="3" t="str">
        <f t="shared" ref="G2:G28" si="0">IF(EXACT(B2, "改造陷阱"), "Transmuted trap", IF(EXACT(B2, "怪物"), "Monster", IF(EXACT(B2, "道具"), "Item", "Loot")))</f>
        <v>Transmuted trap</v>
      </c>
      <c r="H2" s="3"/>
      <c r="I2" s="3"/>
      <c r="J2" t="str">
        <f>IF(EXACT(B2, "改造陷阱"), "trap.png", "monster.png")</f>
        <v>trap.png</v>
      </c>
      <c r="K2" t="str">
        <f>IF(EXACT(B2, "改造陷阱"), "trap_inverted.png", "monster_inverted.png")</f>
        <v>trap_inverted.png</v>
      </c>
    </row>
    <row r="3" spans="1:11" x14ac:dyDescent="0.2">
      <c r="A3" t="s">
        <v>45</v>
      </c>
      <c r="B3" t="s">
        <v>8</v>
      </c>
      <c r="D3" s="1">
        <v>4</v>
      </c>
      <c r="E3" s="2">
        <v>3</v>
      </c>
      <c r="F3" t="s">
        <v>46</v>
      </c>
      <c r="G3" s="3" t="str">
        <f t="shared" si="0"/>
        <v>Transmuted trap</v>
      </c>
      <c r="H3" s="3"/>
      <c r="I3" s="3"/>
      <c r="J3" t="str">
        <f t="shared" ref="J3:J26" si="1">IF(EXACT(B3, "改造陷阱"), "trap.png", "monster.png")</f>
        <v>trap.png</v>
      </c>
      <c r="K3" t="str">
        <f t="shared" ref="K3:K26" si="2">IF(EXACT(B3, "改造陷阱"), "trap_inverted.png", "monster_inverted.png")</f>
        <v>trap_inverted.png</v>
      </c>
    </row>
    <row r="4" spans="1:11" x14ac:dyDescent="0.2">
      <c r="A4" t="s">
        <v>48</v>
      </c>
      <c r="B4" t="s">
        <v>8</v>
      </c>
      <c r="D4" s="1">
        <v>1</v>
      </c>
      <c r="E4" s="2">
        <v>3</v>
      </c>
      <c r="F4" t="s">
        <v>47</v>
      </c>
      <c r="G4" s="3" t="str">
        <f t="shared" si="0"/>
        <v>Transmuted trap</v>
      </c>
      <c r="H4" s="3"/>
      <c r="I4" s="3"/>
      <c r="J4" t="str">
        <f t="shared" si="1"/>
        <v>trap.png</v>
      </c>
      <c r="K4" t="str">
        <f t="shared" si="2"/>
        <v>trap_inverted.png</v>
      </c>
    </row>
    <row r="5" spans="1:11" ht="28.5" x14ac:dyDescent="0.2">
      <c r="A5" t="s">
        <v>49</v>
      </c>
      <c r="B5" t="s">
        <v>8</v>
      </c>
      <c r="D5" s="1">
        <v>1</v>
      </c>
      <c r="E5" s="2">
        <v>3</v>
      </c>
      <c r="F5" s="2" t="s">
        <v>50</v>
      </c>
      <c r="G5" s="3" t="str">
        <f t="shared" si="0"/>
        <v>Transmuted trap</v>
      </c>
      <c r="H5" s="3"/>
      <c r="I5" s="3"/>
      <c r="J5" t="str">
        <f t="shared" si="1"/>
        <v>trap.png</v>
      </c>
      <c r="K5" t="str">
        <f t="shared" si="2"/>
        <v>trap_inverted.png</v>
      </c>
    </row>
    <row r="6" spans="1:11" x14ac:dyDescent="0.2">
      <c r="A6" t="s">
        <v>51</v>
      </c>
      <c r="B6" t="s">
        <v>8</v>
      </c>
      <c r="D6" s="1">
        <v>1</v>
      </c>
      <c r="E6" s="2">
        <v>3</v>
      </c>
      <c r="F6" s="2" t="s">
        <v>52</v>
      </c>
      <c r="G6" s="3" t="str">
        <f t="shared" si="0"/>
        <v>Transmuted trap</v>
      </c>
      <c r="H6" s="3"/>
      <c r="I6" s="3"/>
      <c r="J6" t="str">
        <f t="shared" si="1"/>
        <v>trap.png</v>
      </c>
      <c r="K6" t="str">
        <f t="shared" si="2"/>
        <v>trap_inverted.png</v>
      </c>
    </row>
    <row r="7" spans="1:11" x14ac:dyDescent="0.2">
      <c r="A7" t="s">
        <v>53</v>
      </c>
      <c r="B7" t="s">
        <v>8</v>
      </c>
      <c r="D7" s="1">
        <v>2</v>
      </c>
      <c r="E7" s="2">
        <v>3</v>
      </c>
      <c r="F7" t="s">
        <v>54</v>
      </c>
      <c r="G7" s="3" t="str">
        <f t="shared" si="0"/>
        <v>Transmuted trap</v>
      </c>
      <c r="H7" s="3"/>
      <c r="I7" s="3"/>
      <c r="J7" t="str">
        <f t="shared" si="1"/>
        <v>trap.png</v>
      </c>
      <c r="K7" t="str">
        <f t="shared" si="2"/>
        <v>trap_inverted.png</v>
      </c>
    </row>
    <row r="8" spans="1:11" x14ac:dyDescent="0.2">
      <c r="A8" t="s">
        <v>55</v>
      </c>
      <c r="B8" t="s">
        <v>8</v>
      </c>
      <c r="D8" s="1">
        <v>1</v>
      </c>
      <c r="E8" s="2">
        <v>3</v>
      </c>
      <c r="F8" t="s">
        <v>56</v>
      </c>
      <c r="G8" s="3" t="str">
        <f t="shared" si="0"/>
        <v>Transmuted trap</v>
      </c>
      <c r="H8" s="3"/>
      <c r="I8" s="3"/>
      <c r="J8" t="str">
        <f t="shared" si="1"/>
        <v>trap.png</v>
      </c>
      <c r="K8" t="str">
        <f t="shared" si="2"/>
        <v>trap_inverted.png</v>
      </c>
    </row>
    <row r="9" spans="1:11" x14ac:dyDescent="0.2">
      <c r="A9" t="s">
        <v>57</v>
      </c>
      <c r="B9" t="s">
        <v>8</v>
      </c>
      <c r="D9" s="1">
        <v>4</v>
      </c>
      <c r="E9" s="2">
        <v>3</v>
      </c>
      <c r="F9" t="s">
        <v>58</v>
      </c>
      <c r="G9" s="3" t="str">
        <f t="shared" si="0"/>
        <v>Transmuted trap</v>
      </c>
      <c r="H9" s="3"/>
      <c r="I9" s="3"/>
      <c r="J9" t="str">
        <f t="shared" si="1"/>
        <v>trap.png</v>
      </c>
      <c r="K9" t="str">
        <f t="shared" si="2"/>
        <v>trap_inverted.png</v>
      </c>
    </row>
    <row r="10" spans="1:11" x14ac:dyDescent="0.2">
      <c r="A10" t="s">
        <v>5</v>
      </c>
      <c r="B10" t="s">
        <v>8</v>
      </c>
      <c r="D10" s="1">
        <v>1</v>
      </c>
      <c r="E10" s="2">
        <v>3</v>
      </c>
      <c r="F10" t="s">
        <v>59</v>
      </c>
      <c r="G10" s="3" t="str">
        <f t="shared" si="0"/>
        <v>Transmuted trap</v>
      </c>
      <c r="H10" s="3"/>
      <c r="I10" s="3" t="s">
        <v>6</v>
      </c>
      <c r="J10" t="str">
        <f t="shared" si="1"/>
        <v>trap.png</v>
      </c>
      <c r="K10" t="str">
        <f t="shared" si="2"/>
        <v>trap_inverted.png</v>
      </c>
    </row>
    <row r="11" spans="1:11" x14ac:dyDescent="0.2">
      <c r="A11" t="s">
        <v>60</v>
      </c>
      <c r="B11" t="s">
        <v>8</v>
      </c>
      <c r="D11" s="1">
        <v>2</v>
      </c>
      <c r="E11" s="2">
        <v>3</v>
      </c>
      <c r="F11" t="s">
        <v>61</v>
      </c>
      <c r="G11" s="3" t="str">
        <f t="shared" si="0"/>
        <v>Transmuted trap</v>
      </c>
      <c r="H11" s="3"/>
      <c r="I11" s="3"/>
      <c r="J11" t="str">
        <f t="shared" si="1"/>
        <v>trap.png</v>
      </c>
      <c r="K11" t="str">
        <f t="shared" si="2"/>
        <v>trap_inverted.png</v>
      </c>
    </row>
    <row r="12" spans="1:11" x14ac:dyDescent="0.2">
      <c r="A12" t="s">
        <v>39</v>
      </c>
      <c r="B12" t="s">
        <v>8</v>
      </c>
      <c r="D12" s="1">
        <v>1</v>
      </c>
      <c r="E12" s="2">
        <v>3</v>
      </c>
      <c r="F12" s="2" t="s">
        <v>42</v>
      </c>
      <c r="G12" s="3" t="str">
        <f t="shared" si="0"/>
        <v>Transmuted trap</v>
      </c>
      <c r="H12" s="3"/>
      <c r="I12" s="4"/>
      <c r="J12" t="str">
        <f t="shared" si="1"/>
        <v>trap.png</v>
      </c>
      <c r="K12" t="str">
        <f t="shared" si="2"/>
        <v>trap_inverted.png</v>
      </c>
    </row>
    <row r="13" spans="1:11" x14ac:dyDescent="0.2">
      <c r="A13" t="s">
        <v>40</v>
      </c>
      <c r="B13" t="s">
        <v>8</v>
      </c>
      <c r="D13" s="1">
        <v>1</v>
      </c>
      <c r="E13" s="2">
        <v>3</v>
      </c>
      <c r="F13" s="2" t="s">
        <v>41</v>
      </c>
      <c r="G13" s="3" t="str">
        <f t="shared" si="0"/>
        <v>Transmuted trap</v>
      </c>
      <c r="H13" s="3"/>
      <c r="I13" s="4"/>
      <c r="J13" t="str">
        <f t="shared" si="1"/>
        <v>trap.png</v>
      </c>
      <c r="K13" t="str">
        <f t="shared" si="2"/>
        <v>trap_inverted.png</v>
      </c>
    </row>
    <row r="14" spans="1:11" x14ac:dyDescent="0.2">
      <c r="A14" t="s">
        <v>62</v>
      </c>
      <c r="B14" t="s">
        <v>8</v>
      </c>
      <c r="D14" s="1">
        <v>2</v>
      </c>
      <c r="E14" s="2">
        <v>3</v>
      </c>
      <c r="F14" s="2" t="s">
        <v>63</v>
      </c>
      <c r="G14" s="3" t="str">
        <f t="shared" si="0"/>
        <v>Transmuted trap</v>
      </c>
      <c r="H14" s="3"/>
      <c r="I14" s="4"/>
      <c r="J14" t="str">
        <f t="shared" si="1"/>
        <v>trap.png</v>
      </c>
      <c r="K14" t="str">
        <f t="shared" si="2"/>
        <v>trap_inverted.png</v>
      </c>
    </row>
    <row r="15" spans="1:11" x14ac:dyDescent="0.2">
      <c r="A15" t="s">
        <v>64</v>
      </c>
      <c r="B15" t="s">
        <v>8</v>
      </c>
      <c r="D15" s="1">
        <v>2</v>
      </c>
      <c r="E15" s="2">
        <v>3</v>
      </c>
      <c r="F15" s="2" t="s">
        <v>65</v>
      </c>
      <c r="G15" s="3"/>
      <c r="H15" s="3"/>
      <c r="I15" s="4"/>
    </row>
    <row r="16" spans="1:11" x14ac:dyDescent="0.2">
      <c r="A16" t="s">
        <v>67</v>
      </c>
      <c r="B16" t="s">
        <v>8</v>
      </c>
      <c r="D16" s="1">
        <v>1</v>
      </c>
      <c r="E16" s="2">
        <v>3</v>
      </c>
      <c r="F16" s="2" t="s">
        <v>66</v>
      </c>
      <c r="G16" s="3"/>
      <c r="H16" s="3"/>
      <c r="I16" s="4"/>
    </row>
    <row r="17" spans="1:11" ht="42.75" x14ac:dyDescent="0.2">
      <c r="A17" t="s">
        <v>9</v>
      </c>
      <c r="B17" t="s">
        <v>11</v>
      </c>
      <c r="C17" t="s">
        <v>12</v>
      </c>
      <c r="D17">
        <v>1</v>
      </c>
      <c r="E17" s="2">
        <v>1</v>
      </c>
      <c r="F17" s="2" t="s">
        <v>69</v>
      </c>
      <c r="G17" s="3" t="str">
        <f t="shared" si="0"/>
        <v>Monster</v>
      </c>
      <c r="J17" t="str">
        <f t="shared" si="1"/>
        <v>monster.png</v>
      </c>
      <c r="K17" t="str">
        <f t="shared" si="2"/>
        <v>monster_inverted.png</v>
      </c>
    </row>
    <row r="18" spans="1:11" x14ac:dyDescent="0.2">
      <c r="A18" t="s">
        <v>10</v>
      </c>
      <c r="B18" t="s">
        <v>11</v>
      </c>
      <c r="C18" t="s">
        <v>12</v>
      </c>
      <c r="D18">
        <v>2</v>
      </c>
      <c r="E18" s="2">
        <v>1</v>
      </c>
      <c r="F18" s="2"/>
      <c r="G18" s="3" t="str">
        <f t="shared" si="0"/>
        <v>Monster</v>
      </c>
      <c r="J18" t="str">
        <f t="shared" si="1"/>
        <v>monster.png</v>
      </c>
      <c r="K18" t="str">
        <f t="shared" si="2"/>
        <v>monster_inverted.png</v>
      </c>
    </row>
    <row r="19" spans="1:11" x14ac:dyDescent="0.2">
      <c r="A19" t="s">
        <v>14</v>
      </c>
      <c r="B19" t="s">
        <v>11</v>
      </c>
      <c r="C19" t="s">
        <v>15</v>
      </c>
      <c r="D19">
        <v>3</v>
      </c>
      <c r="E19" s="2">
        <v>1</v>
      </c>
      <c r="F19" s="2" t="s">
        <v>68</v>
      </c>
      <c r="G19" s="3" t="str">
        <f t="shared" si="0"/>
        <v>Monster</v>
      </c>
      <c r="J19" t="str">
        <f t="shared" si="1"/>
        <v>monster.png</v>
      </c>
      <c r="K19" t="str">
        <f t="shared" si="2"/>
        <v>monster_inverted.png</v>
      </c>
    </row>
    <row r="20" spans="1:11" x14ac:dyDescent="0.2">
      <c r="A20" t="s">
        <v>16</v>
      </c>
      <c r="B20" t="s">
        <v>11</v>
      </c>
      <c r="C20" t="s">
        <v>17</v>
      </c>
      <c r="D20">
        <v>4</v>
      </c>
      <c r="E20" s="2">
        <v>1</v>
      </c>
      <c r="F20" s="2" t="s">
        <v>73</v>
      </c>
      <c r="G20" s="3" t="str">
        <f t="shared" si="0"/>
        <v>Monster</v>
      </c>
      <c r="J20" t="str">
        <f t="shared" si="1"/>
        <v>monster.png</v>
      </c>
      <c r="K20" t="str">
        <f t="shared" si="2"/>
        <v>monster_inverted.png</v>
      </c>
    </row>
    <row r="21" spans="1:11" ht="28.5" x14ac:dyDescent="0.2">
      <c r="A21" t="s">
        <v>21</v>
      </c>
      <c r="B21" t="s">
        <v>11</v>
      </c>
      <c r="C21" t="s">
        <v>22</v>
      </c>
      <c r="D21">
        <v>5</v>
      </c>
      <c r="E21" s="2">
        <v>3</v>
      </c>
      <c r="F21" s="2" t="s">
        <v>74</v>
      </c>
      <c r="G21" s="3" t="str">
        <f t="shared" si="0"/>
        <v>Monster</v>
      </c>
      <c r="J21" t="str">
        <f t="shared" si="1"/>
        <v>monster.png</v>
      </c>
      <c r="K21" t="str">
        <f t="shared" si="2"/>
        <v>monster_inverted.png</v>
      </c>
    </row>
    <row r="22" spans="1:11" ht="28.5" x14ac:dyDescent="0.2">
      <c r="A22" t="s">
        <v>70</v>
      </c>
      <c r="B22" t="s">
        <v>11</v>
      </c>
      <c r="C22" t="s">
        <v>71</v>
      </c>
      <c r="D22">
        <v>1</v>
      </c>
      <c r="E22" s="2">
        <v>5</v>
      </c>
      <c r="F22" s="2" t="s">
        <v>72</v>
      </c>
      <c r="G22" s="3" t="str">
        <f t="shared" si="0"/>
        <v>Monster</v>
      </c>
      <c r="J22" t="str">
        <f t="shared" si="1"/>
        <v>monster.png</v>
      </c>
      <c r="K22" t="str">
        <f t="shared" si="2"/>
        <v>monster_inverted.png</v>
      </c>
    </row>
    <row r="23" spans="1:11" ht="42.75" x14ac:dyDescent="0.2">
      <c r="A23" t="s">
        <v>23</v>
      </c>
      <c r="B23" t="s">
        <v>11</v>
      </c>
      <c r="C23" t="s">
        <v>17</v>
      </c>
      <c r="D23">
        <v>1</v>
      </c>
      <c r="E23" s="2">
        <v>5</v>
      </c>
      <c r="F23" s="2" t="s">
        <v>75</v>
      </c>
      <c r="G23" s="3" t="str">
        <f t="shared" si="0"/>
        <v>Monster</v>
      </c>
      <c r="J23" t="str">
        <f t="shared" si="1"/>
        <v>monster.png</v>
      </c>
      <c r="K23" t="str">
        <f t="shared" si="2"/>
        <v>monster_inverted.png</v>
      </c>
    </row>
    <row r="24" spans="1:11" x14ac:dyDescent="0.2">
      <c r="A24" t="s">
        <v>24</v>
      </c>
      <c r="B24" t="s">
        <v>25</v>
      </c>
      <c r="C24" t="s">
        <v>26</v>
      </c>
      <c r="D24">
        <v>1</v>
      </c>
      <c r="E24" s="2">
        <v>1</v>
      </c>
      <c r="F24" s="2" t="s">
        <v>27</v>
      </c>
      <c r="G24" s="3" t="str">
        <f t="shared" si="0"/>
        <v>Item</v>
      </c>
      <c r="J24" t="str">
        <f t="shared" si="1"/>
        <v>monster.png</v>
      </c>
      <c r="K24" t="str">
        <f t="shared" si="2"/>
        <v>monster_inverted.png</v>
      </c>
    </row>
    <row r="25" spans="1:11" x14ac:dyDescent="0.2">
      <c r="A25" t="s">
        <v>28</v>
      </c>
      <c r="B25" t="s">
        <v>25</v>
      </c>
      <c r="C25" t="s">
        <v>26</v>
      </c>
      <c r="D25">
        <v>1</v>
      </c>
      <c r="E25" s="2">
        <v>1</v>
      </c>
      <c r="F25" s="2" t="s">
        <v>29</v>
      </c>
      <c r="G25" s="3" t="str">
        <f t="shared" si="0"/>
        <v>Item</v>
      </c>
      <c r="J25" t="str">
        <f t="shared" si="1"/>
        <v>monster.png</v>
      </c>
      <c r="K25" t="str">
        <f t="shared" si="2"/>
        <v>monster_inverted.png</v>
      </c>
    </row>
    <row r="26" spans="1:11" ht="28.5" x14ac:dyDescent="0.2">
      <c r="A26" t="s">
        <v>30</v>
      </c>
      <c r="B26" t="s">
        <v>25</v>
      </c>
      <c r="C26" t="s">
        <v>26</v>
      </c>
      <c r="D26">
        <v>1</v>
      </c>
      <c r="E26" s="2">
        <v>1</v>
      </c>
      <c r="F26" s="2" t="s">
        <v>31</v>
      </c>
      <c r="G26" s="3" t="str">
        <f>IF(EXACT(B26, "改造陷阱"), "Transmuted trap", IF(EXACT(B26, "怪物"), "Monster", IF(EXACT(B26, "道具"), "Item", "Loot")))</f>
        <v>Item</v>
      </c>
      <c r="J26" t="str">
        <f t="shared" si="1"/>
        <v>monster.png</v>
      </c>
      <c r="K26" t="str">
        <f t="shared" si="2"/>
        <v>monster_inverted.png</v>
      </c>
    </row>
    <row r="27" spans="1:11" x14ac:dyDescent="0.2">
      <c r="A27" t="s">
        <v>37</v>
      </c>
      <c r="B27" t="s">
        <v>38</v>
      </c>
      <c r="D27">
        <v>1</v>
      </c>
      <c r="E27" s="2">
        <v>2</v>
      </c>
      <c r="F27" t="s">
        <v>36</v>
      </c>
      <c r="G27" s="3" t="str">
        <f t="shared" si="0"/>
        <v>Loot</v>
      </c>
      <c r="H27" s="3" t="s">
        <v>35</v>
      </c>
    </row>
    <row r="28" spans="1:11" x14ac:dyDescent="0.2">
      <c r="A28" t="s">
        <v>34</v>
      </c>
      <c r="B28" t="s">
        <v>38</v>
      </c>
      <c r="D28">
        <v>1</v>
      </c>
      <c r="E28" s="2">
        <v>2</v>
      </c>
      <c r="F28" t="s">
        <v>33</v>
      </c>
      <c r="G28" s="3" t="str">
        <f t="shared" si="0"/>
        <v>Loot</v>
      </c>
      <c r="H28" s="3" t="s">
        <v>32</v>
      </c>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管文瀚</dc:creator>
  <cp:lastModifiedBy>文瀚 管</cp:lastModifiedBy>
  <dcterms:created xsi:type="dcterms:W3CDTF">2015-06-05T18:19:34Z</dcterms:created>
  <dcterms:modified xsi:type="dcterms:W3CDTF">2025-09-16T23:48:30Z</dcterms:modified>
</cp:coreProperties>
</file>